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ccount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name val="Calibri"/>
      <family val="2"/>
    </font>
    <font>
      <sz val="11"/>
      <color rgb="FF0563C1"/>
      <u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Z82"/>
  <sheetViews>
    <sheetView workbookViewId="0">
      <pane ySplit="1" topLeftCell="A2" activePane="bottomLeft" state="frozen"/>
    </sheetView>
  </sheetViews>
  <sheetFormatPr defaultRowHeight="15"/>
  <cols>
    <col min="1" max="1" width="30" customWidth="1"/>
    <col min="2" max="2" width="14" customWidth="1"/>
    <col min="3" max="3" width="14" customWidth="1"/>
    <col min="4" max="4" width="35" customWidth="1"/>
    <col min="5" max="5" width="29" customWidth="1"/>
    <col min="6" max="6" width="29" customWidth="1"/>
    <col min="7" max="7" width="36" customWidth="1"/>
    <col min="8" max="8" width="40" customWidth="1"/>
    <col min="9" max="9" width="34" customWidth="1"/>
    <col min="10" max="10" width="14" customWidth="1"/>
    <col min="11" max="11" width="15" customWidth="1"/>
    <col min="12" max="12" width="22" customWidth="1"/>
    <col min="13" max="13" width="14" customWidth="1"/>
    <col min="14" max="14" width="22" customWidth="1"/>
    <col min="15" max="15" width="19" customWidth="1"/>
    <col min="16" max="16" width="39" customWidth="1"/>
    <col min="17" max="17" width="29" customWidth="1"/>
    <col min="18" max="18" width="39" customWidth="1"/>
    <col min="19" max="19" width="20" customWidth="1"/>
    <col min="20" max="20" width="15" customWidth="1"/>
    <col min="21" max="21" width="27" customWidth="1"/>
    <col min="22" max="22" width="90" customWidth="1"/>
    <col min="23" max="23" width="22" customWidth="1"/>
    <col min="24" max="24" width="24" customWidth="1"/>
    <col min="25" max="25" width="15" customWidth="1"/>
    <col min="26" max="26" width="32" customWidth="1"/>
  </cols>
  <sheetData>
    <row r="1" spans="1:26">
      <c r="A1" t="inlineStr" s="1">
        <is>
          <t xml:space="preserve">Account Name</t>
        </is>
      </c>
      <c r="B1" t="inlineStr" s="1">
        <is>
          <t xml:space="preserve">Priority Tier</t>
        </is>
      </c>
      <c r="C1" t="inlineStr" s="1">
        <is>
          <t xml:space="preserve">Employees</t>
        </is>
      </c>
      <c r="D1" t="inlineStr" s="1">
        <is>
          <t xml:space="preserve">ChatGPT Seats Entitled (Enterprise)</t>
        </is>
      </c>
      <c r="E1" t="inlineStr" s="1">
        <is>
          <t xml:space="preserve">ChatGPT Free Users on Account</t>
        </is>
      </c>
      <c r="F1" t="inlineStr" s="1">
        <is>
          <t xml:space="preserve">ChatGPT Team Users on Account</t>
        </is>
      </c>
      <c r="G1" t="inlineStr" s="1">
        <is>
          <t xml:space="preserve">ChatGPT Seats Activated (Enterprise)</t>
        </is>
      </c>
      <c r="H1" t="inlineStr" s="1">
        <is>
          <t xml:space="preserve">ChatGPT Seats Activated as % of Purchase</t>
        </is>
      </c>
      <c r="I1" t="inlineStr" s="1">
        <is>
          <t xml:space="preserve">WAU as % of Activated (Enterprise)</t>
        </is>
      </c>
      <c r="J1" t="inlineStr" s="1">
        <is>
          <t xml:space="preserve">ChatGPT MAU</t>
        </is>
      </c>
      <c r="K1" t="inlineStr" s="1">
        <is>
          <t xml:space="preserve">ChatGPT MAU M-1</t>
        </is>
      </c>
      <c r="L1" t="inlineStr" s="1">
        <is>
          <t xml:space="preserve">ChatGPT MAU Growth (%)</t>
        </is>
      </c>
      <c r="M1" t="inlineStr" s="1">
        <is>
          <t xml:space="preserve">ChatGPT WAU</t>
        </is>
      </c>
      <c r="N1" t="inlineStr" s="1">
        <is>
          <t xml:space="preserve">ChatGPT WAU Growth (%)</t>
        </is>
      </c>
      <c r="O1" t="inlineStr" s="1">
        <is>
          <t xml:space="preserve">ChatGPT ARR (Total)</t>
        </is>
      </c>
      <c r="P1" t="inlineStr" s="1">
        <is>
          <t xml:space="preserve">API Revenue M-0 Projected (Sales Owned)</t>
        </is>
      </c>
      <c r="Q1" t="inlineStr" s="1">
        <is>
          <t xml:space="preserve">API Revenue M-1 (Sales Owned)</t>
        </is>
      </c>
      <c r="R1" t="inlineStr" s="1">
        <is>
          <t xml:space="preserve">API Revenue MoM Change (Sales Owned, %)</t>
        </is>
      </c>
      <c r="S1" t="inlineStr" s="1">
        <is>
          <t xml:space="preserve">API All Time Revenue</t>
        </is>
      </c>
      <c r="T1" t="inlineStr" s="1">
        <is>
          <t xml:space="preserve">API ARR (Total)</t>
        </is>
      </c>
      <c r="U1" t="inlineStr" s="1">
        <is>
          <t xml:space="preserve"># Closed-Lost Opportunities</t>
        </is>
      </c>
      <c r="V1" t="inlineStr" s="1">
        <is>
          <t xml:space="preserve">Company Summary</t>
        </is>
      </c>
      <c r="W1" t="inlineStr" s="1">
        <is>
          <t xml:space="preserve">Est. knowledge workers</t>
        </is>
      </c>
      <c r="X1" t="inlineStr" s="1">
        <is>
          <t xml:space="preserve">Estimated Engineer count</t>
        </is>
      </c>
      <c r="Y1" t="inlineStr" s="1">
        <is>
          <t xml:space="preserve">Propensity Tier</t>
        </is>
      </c>
      <c r="Z1" t="inlineStr" s="1">
        <is>
          <t xml:space="preserve">Website</t>
        </is>
      </c>
    </row>
    <row r="2" spans="1:26">
      <c r="A2" t="str" s="2">
        <f>HYPERLINK("https://www.gentex.com/","Gentex Corporation")</f>
        <v>Gentex Corporation</v>
      </c>
      <c r="B2" t="inlineStr">
        <is>
          <t xml:space="preserve"/>
        </is>
      </c>
      <c r="C2">
        <v>6184</v>
      </c>
      <c r="D2">
        <v>0</v>
      </c>
      <c r="E2">
        <v>133</v>
      </c>
      <c r="F2">
        <v>2</v>
      </c>
      <c r="G2">
        <v>0</v>
      </c>
      <c r="H2" t="inlineStr">
        <is>
          <t xml:space="preserve">#ERROR!</t>
        </is>
      </c>
      <c r="I2" t="inlineStr">
        <is>
          <t xml:space="preserve"/>
        </is>
      </c>
      <c r="J2">
        <v>32</v>
      </c>
      <c r="K2">
        <v>34</v>
      </c>
      <c r="L2">
        <v>-6</v>
      </c>
      <c r="M2">
        <v>21</v>
      </c>
      <c r="N2">
        <v>-16</v>
      </c>
      <c r="O2">
        <v>1680</v>
      </c>
      <c r="P2">
        <v>0</v>
      </c>
      <c r="Q2">
        <v>0</v>
      </c>
      <c r="R2">
        <v>0</v>
      </c>
      <c r="S2">
        <v>0</v>
      </c>
      <c r="T2">
        <v>0</v>
      </c>
      <c r="U2">
        <v>1</v>
      </c>
      <c r="V2" t="inlineStr">
        <is>
          <t xml:space="preserve">Automotive and aerospace technology manufacturer known for connected-car electronics, dimmable glass and fire-protection products; brands include HomeLink and VOXX-related vehicle integrations.</t>
        </is>
      </c>
      <c r="W2">
        <v>1484</v>
      </c>
      <c r="X2">
        <v>680</v>
      </c>
      <c r="Y2" t="inlineStr">
        <is>
          <t xml:space="preserve">Tier 2</t>
        </is>
      </c>
      <c r="Z2" t="inlineStr">
        <is>
          <t xml:space="preserve">https://www.gentex.com/</t>
        </is>
      </c>
    </row>
    <row r="3" spans="1:26">
      <c r="A3" t="str" s="2">
        <f>HYPERLINK("https://www.lionbridge.com/","Lionbridge Technologies")</f>
        <v>Lionbridge Technologies</v>
      </c>
      <c r="B3" t="inlineStr">
        <is>
          <t xml:space="preserve">P2</t>
        </is>
      </c>
      <c r="C3">
        <v>6000</v>
      </c>
      <c r="D3">
        <v>0</v>
      </c>
      <c r="E3">
        <v>657</v>
      </c>
      <c r="F3">
        <v>0</v>
      </c>
      <c r="G3">
        <v>0</v>
      </c>
      <c r="H3" t="inlineStr">
        <is>
          <t xml:space="preserve">#ERROR!</t>
        </is>
      </c>
      <c r="I3" t="inlineStr">
        <is>
          <t xml:space="preserve"/>
        </is>
      </c>
      <c r="J3">
        <v>139</v>
      </c>
      <c r="K3">
        <v>119</v>
      </c>
      <c r="L3">
        <v>17</v>
      </c>
      <c r="M3">
        <v>101</v>
      </c>
      <c r="N3">
        <v>1</v>
      </c>
      <c r="O3">
        <v>960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 t="inlineStr">
        <is>
          <t xml:space="preserve">Global localization, AI data and translation-services company; core brands include Lionbridge Language Cloud and Lionbridge AI.</t>
        </is>
      </c>
      <c r="W3">
        <v>4320</v>
      </c>
      <c r="X3">
        <v>540</v>
      </c>
      <c r="Y3" t="inlineStr">
        <is>
          <t xml:space="preserve">Top 15</t>
        </is>
      </c>
      <c r="Z3" t="inlineStr">
        <is>
          <t xml:space="preserve">https://www.lionbridge.com/</t>
        </is>
      </c>
    </row>
    <row r="4" spans="1:26">
      <c r="A4" t="str" s="2">
        <f>HYPERLINK("https://www.nuance.com/","Nuance Communications")</f>
        <v>Nuance Communications</v>
      </c>
      <c r="B4" t="inlineStr">
        <is>
          <t xml:space="preserve">P1</t>
        </is>
      </c>
      <c r="C4">
        <v>6500</v>
      </c>
      <c r="D4">
        <v>0</v>
      </c>
      <c r="E4">
        <v>369</v>
      </c>
      <c r="F4">
        <v>1</v>
      </c>
      <c r="G4">
        <v>0</v>
      </c>
      <c r="H4" t="inlineStr">
        <is>
          <t xml:space="preserve">#ERROR!</t>
        </is>
      </c>
      <c r="I4" t="inlineStr">
        <is>
          <t xml:space="preserve"/>
        </is>
      </c>
      <c r="J4">
        <v>30</v>
      </c>
      <c r="K4">
        <v>29</v>
      </c>
      <c r="L4">
        <v>3</v>
      </c>
      <c r="M4">
        <v>25</v>
      </c>
      <c r="N4">
        <v>14</v>
      </c>
      <c r="O4">
        <v>1458</v>
      </c>
      <c r="P4">
        <v>0</v>
      </c>
      <c r="Q4">
        <v>0</v>
      </c>
      <c r="R4">
        <v>0</v>
      </c>
      <c r="S4">
        <v>34</v>
      </c>
      <c r="T4">
        <v>1</v>
      </c>
      <c r="U4">
        <v>0</v>
      </c>
      <c r="V4" t="inlineStr">
        <is>
          <t xml:space="preserve">Speech AI and clinical-documentation software company owned by Microsoft; brands include Dragon, PowerScribe and DAX.</t>
        </is>
      </c>
      <c r="W4">
        <v>5070</v>
      </c>
      <c r="X4">
        <v>1430</v>
      </c>
      <c r="Y4" t="inlineStr">
        <is>
          <t xml:space="preserve">Top 15</t>
        </is>
      </c>
      <c r="Z4" t="inlineStr">
        <is>
          <t xml:space="preserve">https://www.nuance.com/</t>
        </is>
      </c>
    </row>
    <row r="5" spans="1:26">
      <c r="A5" t="str" s="2">
        <f>HYPERLINK("https://www.shaw.ca/","Shaw Communications")</f>
        <v>Shaw Communications</v>
      </c>
      <c r="B5" t="inlineStr">
        <is>
          <t xml:space="preserve"/>
        </is>
      </c>
      <c r="C5">
        <v>9500</v>
      </c>
      <c r="D5" t="inlineStr">
        <is>
          <t xml:space="preserve"/>
        </is>
      </c>
      <c r="E5">
        <v>38408</v>
      </c>
      <c r="F5">
        <v>26</v>
      </c>
      <c r="G5" t="inlineStr">
        <is>
          <t xml:space="preserve"/>
        </is>
      </c>
      <c r="H5" t="inlineStr">
        <is>
          <t xml:space="preserve">#ERROR!</t>
        </is>
      </c>
      <c r="I5" t="inlineStr">
        <is>
          <t xml:space="preserve"/>
        </is>
      </c>
      <c r="J5">
        <v>15224</v>
      </c>
      <c r="K5">
        <v>14551</v>
      </c>
      <c r="L5">
        <v>5</v>
      </c>
      <c r="M5">
        <v>10628</v>
      </c>
      <c r="N5">
        <v>3</v>
      </c>
      <c r="O5">
        <v>411600</v>
      </c>
      <c r="P5" t="inlineStr">
        <is>
          <t xml:space="preserve"/>
        </is>
      </c>
      <c r="Q5" t="inlineStr">
        <is>
          <t xml:space="preserve"/>
        </is>
      </c>
      <c r="R5">
        <v>0</v>
      </c>
      <c r="S5" t="inlineStr">
        <is>
          <t xml:space="preserve"/>
        </is>
      </c>
      <c r="T5" t="inlineStr">
        <is>
          <t xml:space="preserve"/>
        </is>
      </c>
      <c r="U5">
        <v>0</v>
      </c>
      <c r="V5" t="inlineStr">
        <is>
          <t xml:space="preserve">Canadian telecom and broadband operator acquired by Rogers; Shaw consumer services now sit alongside Rogers and Freedom Mobile brands.</t>
        </is>
      </c>
      <c r="W5">
        <v>4560</v>
      </c>
      <c r="X5">
        <v>1140</v>
      </c>
      <c r="Y5" t="inlineStr">
        <is>
          <t xml:space="preserve">Top 15</t>
        </is>
      </c>
      <c r="Z5" t="inlineStr">
        <is>
          <t xml:space="preserve">https://www.shaw.ca/</t>
        </is>
      </c>
    </row>
    <row r="6" spans="1:26">
      <c r="A6" t="str" s="2">
        <f>HYPERLINK("https://www.mercer.com/","Mercer LLC")</f>
        <v>Mercer LLC</v>
      </c>
      <c r="B6" t="inlineStr">
        <is>
          <t xml:space="preserve">P2</t>
        </is>
      </c>
      <c r="C6">
        <v>4325</v>
      </c>
      <c r="D6">
        <v>0</v>
      </c>
      <c r="E6">
        <v>1549</v>
      </c>
      <c r="F6">
        <v>46</v>
      </c>
      <c r="G6">
        <v>0</v>
      </c>
      <c r="H6" t="inlineStr">
        <is>
          <t xml:space="preserve">#ERROR!</t>
        </is>
      </c>
      <c r="I6" t="inlineStr">
        <is>
          <t xml:space="preserve"/>
        </is>
      </c>
      <c r="J6">
        <v>232</v>
      </c>
      <c r="K6">
        <v>197</v>
      </c>
      <c r="L6">
        <v>18</v>
      </c>
      <c r="M6">
        <v>174</v>
      </c>
      <c r="N6">
        <v>10</v>
      </c>
      <c r="O6">
        <v>30197</v>
      </c>
      <c r="P6">
        <v>0</v>
      </c>
      <c r="Q6">
        <v>0</v>
      </c>
      <c r="R6">
        <v>0</v>
      </c>
      <c r="S6">
        <v>154</v>
      </c>
      <c r="T6">
        <v>122</v>
      </c>
      <c r="U6">
        <v>0</v>
      </c>
      <c r="V6" t="inlineStr">
        <is>
          <t xml:space="preserve">HR, benefits, wealth and consulting firm within Marsh McLennan; associated group brands include Mercer, Marsh, Guy Carpenter and Oliver Wyman.</t>
        </is>
      </c>
      <c r="W6">
        <v>3460</v>
      </c>
      <c r="X6">
        <v>303</v>
      </c>
      <c r="Y6" t="inlineStr">
        <is>
          <t xml:space="preserve">Top 15</t>
        </is>
      </c>
      <c r="Z6" t="inlineStr">
        <is>
          <t xml:space="preserve">https://www.mercer.com/</t>
        </is>
      </c>
    </row>
    <row r="7" spans="1:26">
      <c r="A7" t="str" s="2">
        <f>HYPERLINK("https://www.wiley.com/","John Wiley &amp; Sons, Inc.")</f>
        <v>John Wiley &amp; Sons, Inc.</v>
      </c>
      <c r="B7" t="inlineStr">
        <is>
          <t xml:space="preserve"/>
        </is>
      </c>
      <c r="C7">
        <v>6400</v>
      </c>
      <c r="D7">
        <v>0</v>
      </c>
      <c r="E7">
        <v>915</v>
      </c>
      <c r="F7">
        <v>18</v>
      </c>
      <c r="G7">
        <v>0</v>
      </c>
      <c r="H7" t="inlineStr">
        <is>
          <t xml:space="preserve">#ERROR!</t>
        </is>
      </c>
      <c r="I7" t="inlineStr">
        <is>
          <t xml:space="preserve"/>
        </is>
      </c>
      <c r="J7">
        <v>192</v>
      </c>
      <c r="K7">
        <v>202</v>
      </c>
      <c r="L7">
        <v>-5</v>
      </c>
      <c r="M7">
        <v>140</v>
      </c>
      <c r="N7">
        <v>-4</v>
      </c>
      <c r="O7">
        <v>8760</v>
      </c>
      <c r="P7">
        <v>0</v>
      </c>
      <c r="Q7">
        <v>0</v>
      </c>
      <c r="R7">
        <v>0</v>
      </c>
      <c r="S7">
        <v>3144</v>
      </c>
      <c r="T7">
        <v>901</v>
      </c>
      <c r="U7">
        <v>2</v>
      </c>
      <c r="V7" t="inlineStr">
        <is>
          <t xml:space="preserve">Academic publishing, research and professional-learning company; brands include Wiley, Hindawi and Wiley Online Library.</t>
        </is>
      </c>
      <c r="W7">
        <v>4864</v>
      </c>
      <c r="X7">
        <v>512</v>
      </c>
      <c r="Y7" t="inlineStr">
        <is>
          <t xml:space="preserve">Top 15</t>
        </is>
      </c>
      <c r="Z7" t="inlineStr">
        <is>
          <t xml:space="preserve">https://www.wiley.com/</t>
        </is>
      </c>
    </row>
    <row r="8" spans="1:26">
      <c r="A8" t="str" s="2">
        <f>HYPERLINK("https://www.nytco.com/","New York Times")</f>
        <v>New York Times</v>
      </c>
      <c r="B8" t="inlineStr">
        <is>
          <t xml:space="preserve"/>
        </is>
      </c>
      <c r="C8">
        <v>5900</v>
      </c>
      <c r="D8">
        <v>0</v>
      </c>
      <c r="E8">
        <v>964</v>
      </c>
      <c r="F8">
        <v>1</v>
      </c>
      <c r="G8">
        <v>0</v>
      </c>
      <c r="H8" t="inlineStr">
        <is>
          <t xml:space="preserve">#ERROR!</t>
        </is>
      </c>
      <c r="I8" t="inlineStr">
        <is>
          <t xml:space="preserve"/>
        </is>
      </c>
      <c r="J8">
        <v>191</v>
      </c>
      <c r="K8">
        <v>176</v>
      </c>
      <c r="L8">
        <v>9</v>
      </c>
      <c r="M8">
        <v>121</v>
      </c>
      <c r="N8">
        <v>-8</v>
      </c>
      <c r="O8">
        <v>5053</v>
      </c>
      <c r="P8">
        <v>7280</v>
      </c>
      <c r="Q8">
        <v>6607</v>
      </c>
      <c r="R8">
        <v>-37</v>
      </c>
      <c r="S8">
        <v>161492</v>
      </c>
      <c r="T8">
        <v>93697</v>
      </c>
      <c r="U8">
        <v>2</v>
      </c>
      <c r="V8" t="inlineStr">
        <is>
          <t xml:space="preserve">News, media and subscription products company behind The New York Times, Wirecutter, The Athletic and NYT Games.</t>
        </is>
      </c>
      <c r="W8">
        <v>4366</v>
      </c>
      <c r="X8">
        <v>649</v>
      </c>
      <c r="Y8" t="inlineStr">
        <is>
          <t xml:space="preserve">Top 15</t>
        </is>
      </c>
      <c r="Z8" t="inlineStr">
        <is>
          <t xml:space="preserve">https://www.nytco.com/</t>
        </is>
      </c>
    </row>
    <row r="9" spans="1:26">
      <c r="A9" t="str" s="2">
        <f>HYPERLINK("https://www.aes.com/","AES Big Sky, L.L.C.")</f>
        <v>AES Big Sky, L.L.C.</v>
      </c>
      <c r="B9" t="inlineStr">
        <is>
          <t xml:space="preserve"/>
        </is>
      </c>
      <c r="C9">
        <v>9100</v>
      </c>
      <c r="D9">
        <v>0</v>
      </c>
      <c r="E9">
        <v>610</v>
      </c>
      <c r="F9">
        <v>1</v>
      </c>
      <c r="G9">
        <v>0</v>
      </c>
      <c r="H9" t="inlineStr">
        <is>
          <t xml:space="preserve">#ERROR!</t>
        </is>
      </c>
      <c r="I9" t="inlineStr">
        <is>
          <t xml:space="preserve"/>
        </is>
      </c>
      <c r="J9">
        <v>159</v>
      </c>
      <c r="K9">
        <v>140</v>
      </c>
      <c r="L9">
        <v>14</v>
      </c>
      <c r="M9">
        <v>112</v>
      </c>
      <c r="N9">
        <v>-2</v>
      </c>
      <c r="O9">
        <v>7679</v>
      </c>
      <c r="P9">
        <v>0</v>
      </c>
      <c r="Q9">
        <v>0</v>
      </c>
      <c r="R9">
        <v>0</v>
      </c>
      <c r="S9">
        <v>9</v>
      </c>
      <c r="T9">
        <v>0</v>
      </c>
      <c r="U9">
        <v>2</v>
      </c>
      <c r="V9" t="inlineStr">
        <is>
          <t xml:space="preserve">Power-generation and renewables operating entity within The AES Corporation, which develops utility, storage and energy-infrastructure assets.</t>
        </is>
      </c>
      <c r="W9">
        <v>3094</v>
      </c>
      <c r="X9">
        <v>1092</v>
      </c>
      <c r="Y9" t="inlineStr">
        <is>
          <t xml:space="preserve">Tier 2</t>
        </is>
      </c>
      <c r="Z9" t="inlineStr">
        <is>
          <t xml:space="preserve">https://www.aes.com/</t>
        </is>
      </c>
    </row>
    <row r="10" spans="1:26">
      <c r="A10" t="str" s="2">
        <f>HYPERLINK("https://www.unicef.org/","UNICEF")</f>
        <v>UNICEF</v>
      </c>
      <c r="B10" t="inlineStr">
        <is>
          <t xml:space="preserve"/>
        </is>
      </c>
      <c r="C10">
        <v>17000</v>
      </c>
      <c r="D10">
        <v>0</v>
      </c>
      <c r="E10">
        <v>1213</v>
      </c>
      <c r="F10">
        <v>6</v>
      </c>
      <c r="G10">
        <v>0</v>
      </c>
      <c r="H10" t="inlineStr">
        <is>
          <t xml:space="preserve">#ERROR!</t>
        </is>
      </c>
      <c r="I10" t="inlineStr">
        <is>
          <t xml:space="preserve"/>
        </is>
      </c>
      <c r="J10">
        <v>360</v>
      </c>
      <c r="K10">
        <v>364</v>
      </c>
      <c r="L10">
        <v>-1</v>
      </c>
      <c r="M10">
        <v>266</v>
      </c>
      <c r="N10">
        <v>-4</v>
      </c>
      <c r="O10">
        <v>14869</v>
      </c>
      <c r="P10">
        <v>0</v>
      </c>
      <c r="Q10">
        <v>0</v>
      </c>
      <c r="R10">
        <v>0</v>
      </c>
      <c r="S10">
        <v>267</v>
      </c>
      <c r="T10">
        <v>2</v>
      </c>
      <c r="U10">
        <v>0</v>
      </c>
      <c r="V10" t="inlineStr">
        <is>
          <t xml:space="preserve">UN agency focused on children's health, education and humanitarian response; operates through UNICEF national committees and country offices.</t>
        </is>
      </c>
      <c r="W10">
        <v>10540</v>
      </c>
      <c r="X10">
        <v>850</v>
      </c>
      <c r="Y10" t="inlineStr">
        <is>
          <t xml:space="preserve">Top 15</t>
        </is>
      </c>
      <c r="Z10" t="inlineStr">
        <is>
          <t xml:space="preserve">https://www.unicef.org/</t>
        </is>
      </c>
    </row>
    <row r="11" spans="1:26">
      <c r="A11" t="str" s="2">
        <f>HYPERLINK("https://www.ampagency.com/","Amp Agency")</f>
        <v>Amp Agency</v>
      </c>
      <c r="B11" t="inlineStr">
        <is>
          <t xml:space="preserve">P1</t>
        </is>
      </c>
      <c r="C11">
        <v>630</v>
      </c>
      <c r="D11">
        <v>0</v>
      </c>
      <c r="E11">
        <v>136</v>
      </c>
      <c r="F11">
        <v>26</v>
      </c>
      <c r="G11">
        <v>0</v>
      </c>
      <c r="H11" t="inlineStr">
        <is>
          <t xml:space="preserve">#ERROR!</t>
        </is>
      </c>
      <c r="I11" t="inlineStr">
        <is>
          <t xml:space="preserve"/>
        </is>
      </c>
      <c r="J11">
        <v>33</v>
      </c>
      <c r="K11">
        <v>28</v>
      </c>
      <c r="L11">
        <v>18</v>
      </c>
      <c r="M11">
        <v>15</v>
      </c>
      <c r="N11">
        <v>0</v>
      </c>
      <c r="O11">
        <v>11400</v>
      </c>
      <c r="P11">
        <v>0</v>
      </c>
      <c r="Q11">
        <v>0</v>
      </c>
      <c r="R11">
        <v>0</v>
      </c>
      <c r="S11">
        <v>206</v>
      </c>
      <c r="T11">
        <v>0</v>
      </c>
      <c r="U11">
        <v>2</v>
      </c>
      <c r="V11" t="inlineStr">
        <is>
          <t xml:space="preserve">Digital marketing and creative agency serving brand clients across media, commerce and experience design; operates as AMP Agency.</t>
        </is>
      </c>
      <c r="W11">
        <v>517</v>
      </c>
      <c r="X11">
        <v>44</v>
      </c>
      <c r="Y11" t="inlineStr">
        <is>
          <t xml:space="preserve">Top 15</t>
        </is>
      </c>
      <c r="Z11" t="inlineStr">
        <is>
          <t xml:space="preserve">https://www.ampagency.com/</t>
        </is>
      </c>
    </row>
    <row r="12" spans="1:26">
      <c r="A12" t="str" s="2">
        <f>HYPERLINK("https://www.sgkinc.com/","SGK")</f>
        <v>SGK</v>
      </c>
      <c r="B12" t="inlineStr">
        <is>
          <t xml:space="preserve"/>
        </is>
      </c>
      <c r="C12">
        <v>6800</v>
      </c>
      <c r="D12">
        <v>0</v>
      </c>
      <c r="E12">
        <v>307</v>
      </c>
      <c r="F12">
        <v>2</v>
      </c>
      <c r="G12">
        <v>0</v>
      </c>
      <c r="H12" t="inlineStr">
        <is>
          <t xml:space="preserve">#ERROR!</t>
        </is>
      </c>
      <c r="I12" t="inlineStr">
        <is>
          <t xml:space="preserve"/>
        </is>
      </c>
      <c r="J12">
        <v>92</v>
      </c>
      <c r="K12">
        <v>99</v>
      </c>
      <c r="L12">
        <v>-7</v>
      </c>
      <c r="M12">
        <v>72</v>
      </c>
      <c r="N12">
        <v>3</v>
      </c>
      <c r="O12">
        <v>5237</v>
      </c>
      <c r="P12">
        <v>0</v>
      </c>
      <c r="Q12">
        <v>0</v>
      </c>
      <c r="R12">
        <v>0</v>
      </c>
      <c r="S12">
        <v>17</v>
      </c>
      <c r="T12">
        <v>0</v>
      </c>
      <c r="U12">
        <v>1</v>
      </c>
      <c r="V12" t="inlineStr">
        <is>
          <t xml:space="preserve">Packaging, brand experience and content-production business within Matthews International; SGK works alongside Matthews Memorialization and Industrial Automation.</t>
        </is>
      </c>
      <c r="W12">
        <v>4488</v>
      </c>
      <c r="X12">
        <v>408</v>
      </c>
      <c r="Y12" t="inlineStr">
        <is>
          <t xml:space="preserve">Tier 2</t>
        </is>
      </c>
      <c r="Z12" t="inlineStr">
        <is>
          <t xml:space="preserve">https://www.sgkinc.com/</t>
        </is>
      </c>
    </row>
    <row r="13" spans="1:26">
      <c r="A13" t="str" s="2">
        <f>HYPERLINK("https://www.blharbert.com/","BL Harbert")</f>
        <v>BL Harbert</v>
      </c>
      <c r="B13" t="inlineStr">
        <is>
          <t xml:space="preserve"/>
        </is>
      </c>
      <c r="C13">
        <v>10000</v>
      </c>
      <c r="D13">
        <v>0</v>
      </c>
      <c r="E13">
        <v>92</v>
      </c>
      <c r="F13">
        <v>0</v>
      </c>
      <c r="G13">
        <v>0</v>
      </c>
      <c r="H13" t="inlineStr">
        <is>
          <t xml:space="preserve">#ERROR!</t>
        </is>
      </c>
      <c r="I13" t="inlineStr">
        <is>
          <t xml:space="preserve"/>
        </is>
      </c>
      <c r="J13">
        <v>37</v>
      </c>
      <c r="K13">
        <v>38</v>
      </c>
      <c r="L13">
        <v>-3</v>
      </c>
      <c r="M13">
        <v>27</v>
      </c>
      <c r="N13">
        <v>-10</v>
      </c>
      <c r="O13">
        <v>240</v>
      </c>
      <c r="P13">
        <v>0</v>
      </c>
      <c r="Q13">
        <v>0</v>
      </c>
      <c r="R13">
        <v>0</v>
      </c>
      <c r="S13" t="inlineStr">
        <is>
          <t xml:space="preserve"/>
        </is>
      </c>
      <c r="T13">
        <v>0</v>
      </c>
      <c r="U13">
        <v>1</v>
      </c>
      <c r="V13" t="inlineStr">
        <is>
          <t xml:space="preserve">General contractor focused on large commercial, federal and international construction programs; operates under BL Harbert International.</t>
        </is>
      </c>
      <c r="W13">
        <v>2500</v>
      </c>
      <c r="X13">
        <v>700</v>
      </c>
      <c r="Y13" t="inlineStr">
        <is>
          <t xml:space="preserve">Tier 3</t>
        </is>
      </c>
      <c r="Z13" t="inlineStr">
        <is>
          <t xml:space="preserve">https://www.blharbert.com/</t>
        </is>
      </c>
    </row>
    <row r="14" spans="1:26">
      <c r="A14" t="str" s="2">
        <f>HYPERLINK("https://www.cornerstonebuildingbrands.com/","Cornerstone Building Brands")</f>
        <v>Cornerstone Building Brands</v>
      </c>
      <c r="B14" t="inlineStr">
        <is>
          <t xml:space="preserve"/>
        </is>
      </c>
      <c r="C14">
        <v>18800</v>
      </c>
      <c r="D14">
        <v>0</v>
      </c>
      <c r="E14">
        <v>451</v>
      </c>
      <c r="F14">
        <v>32</v>
      </c>
      <c r="G14">
        <v>0</v>
      </c>
      <c r="H14" t="inlineStr">
        <is>
          <t xml:space="preserve">#ERROR!</t>
        </is>
      </c>
      <c r="I14" t="inlineStr">
        <is>
          <t xml:space="preserve"/>
        </is>
      </c>
      <c r="J14">
        <v>169</v>
      </c>
      <c r="K14">
        <v>163</v>
      </c>
      <c r="L14">
        <v>4</v>
      </c>
      <c r="M14">
        <v>126</v>
      </c>
      <c r="N14">
        <v>5</v>
      </c>
      <c r="O14">
        <v>14040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 t="inlineStr">
        <is>
          <t xml:space="preserve">Exterior building-products manufacturer serving residential and commercial construction; brands include Ply Gem, MBCI and Metallic Building Systems.</t>
        </is>
      </c>
      <c r="W14">
        <v>4324</v>
      </c>
      <c r="X14">
        <v>1504</v>
      </c>
      <c r="Y14" t="inlineStr">
        <is>
          <t xml:space="preserve">Tier 2</t>
        </is>
      </c>
      <c r="Z14" t="inlineStr">
        <is>
          <t xml:space="preserve">https://www.cornerstonebuildingbrands.com/</t>
        </is>
      </c>
    </row>
    <row r="15" spans="1:26">
      <c r="A15" t="str" s="2">
        <f>HYPERLINK("https://www.packagingcorp.com/","Packaging Corp of America")</f>
        <v>Packaging Corp of America</v>
      </c>
      <c r="B15" t="inlineStr">
        <is>
          <t xml:space="preserve"/>
        </is>
      </c>
      <c r="C15">
        <v>15400</v>
      </c>
      <c r="D15">
        <v>0</v>
      </c>
      <c r="E15">
        <v>108</v>
      </c>
      <c r="F15">
        <v>0</v>
      </c>
      <c r="G15">
        <v>0</v>
      </c>
      <c r="H15" t="inlineStr">
        <is>
          <t xml:space="preserve">#ERROR!</t>
        </is>
      </c>
      <c r="I15" t="inlineStr">
        <is>
          <t xml:space="preserve"/>
        </is>
      </c>
      <c r="J15">
        <v>23</v>
      </c>
      <c r="K15">
        <v>22</v>
      </c>
      <c r="L15">
        <v>5</v>
      </c>
      <c r="M15">
        <v>15</v>
      </c>
      <c r="N15">
        <v>-17</v>
      </c>
      <c r="O15">
        <v>1440</v>
      </c>
      <c r="P15" t="inlineStr">
        <is>
          <t xml:space="preserve"/>
        </is>
      </c>
      <c r="Q15" t="inlineStr">
        <is>
          <t xml:space="preserve"/>
        </is>
      </c>
      <c r="R15">
        <v>0</v>
      </c>
      <c r="S15" t="inlineStr">
        <is>
          <t xml:space="preserve"/>
        </is>
      </c>
      <c r="T15" t="inlineStr">
        <is>
          <t xml:space="preserve"/>
        </is>
      </c>
      <c r="U15">
        <v>0</v>
      </c>
      <c r="V15" t="inlineStr">
        <is>
          <t xml:space="preserve">Containerboard and corrugated-packaging manufacturer operating mills and box plants across North America under the PCA brand.</t>
        </is>
      </c>
      <c r="W15">
        <v>2772</v>
      </c>
      <c r="X15">
        <v>924</v>
      </c>
      <c r="Y15" t="inlineStr">
        <is>
          <t xml:space="preserve">Tier 3</t>
        </is>
      </c>
      <c r="Z15" t="inlineStr">
        <is>
          <t xml:space="preserve">https://www.packagingcorp.com/</t>
        </is>
      </c>
    </row>
    <row r="16" spans="1:26">
      <c r="A16" t="str" s="2">
        <f>HYPERLINK("https://www.amwater.com/","American Water Works")</f>
        <v>American Water Works</v>
      </c>
      <c r="B16" t="inlineStr">
        <is>
          <t xml:space="preserve"/>
        </is>
      </c>
      <c r="C16">
        <v>6700</v>
      </c>
      <c r="D16">
        <v>0</v>
      </c>
      <c r="E16">
        <v>48</v>
      </c>
      <c r="F16">
        <v>0</v>
      </c>
      <c r="G16">
        <v>0</v>
      </c>
      <c r="H16" t="inlineStr">
        <is>
          <t xml:space="preserve">#ERROR!</t>
        </is>
      </c>
      <c r="I16" t="inlineStr">
        <is>
          <t xml:space="preserve"/>
        </is>
      </c>
      <c r="J16">
        <v>8</v>
      </c>
      <c r="K16">
        <v>7</v>
      </c>
      <c r="L16">
        <v>14</v>
      </c>
      <c r="M16">
        <v>5</v>
      </c>
      <c r="N16">
        <v>0</v>
      </c>
      <c r="O16">
        <v>4800</v>
      </c>
      <c r="P16">
        <v>0</v>
      </c>
      <c r="Q16">
        <v>0</v>
      </c>
      <c r="R16">
        <v>0</v>
      </c>
      <c r="S16" t="inlineStr">
        <is>
          <t xml:space="preserve"/>
        </is>
      </c>
      <c r="T16">
        <v>0</v>
      </c>
      <c r="U16">
        <v>0</v>
      </c>
      <c r="V16" t="inlineStr">
        <is>
          <t xml:space="preserve">Water and wastewater utility operator serving regulated and military systems; key brands include American Water and American Water Military Services Group.</t>
        </is>
      </c>
      <c r="W16">
        <v>2077</v>
      </c>
      <c r="X16">
        <v>603</v>
      </c>
      <c r="Y16" t="inlineStr">
        <is>
          <t xml:space="preserve">Tier 3</t>
        </is>
      </c>
      <c r="Z16" t="inlineStr">
        <is>
          <t xml:space="preserve">https://www.amwater.com/</t>
        </is>
      </c>
    </row>
    <row r="17" spans="1:26">
      <c r="A17" t="str" s="2">
        <f>HYPERLINK("https://www.hydroone.com/","Hydro One")</f>
        <v>Hydro One</v>
      </c>
      <c r="B17" t="inlineStr">
        <is>
          <t xml:space="preserve"/>
        </is>
      </c>
      <c r="C17">
        <v>10100</v>
      </c>
      <c r="D17">
        <v>0</v>
      </c>
      <c r="E17">
        <v>206</v>
      </c>
      <c r="F17">
        <v>0</v>
      </c>
      <c r="G17">
        <v>0</v>
      </c>
      <c r="H17" t="inlineStr">
        <is>
          <t xml:space="preserve">#ERROR!</t>
        </is>
      </c>
      <c r="I17" t="inlineStr">
        <is>
          <t xml:space="preserve"/>
        </is>
      </c>
      <c r="J17">
        <v>22</v>
      </c>
      <c r="K17">
        <v>19</v>
      </c>
      <c r="L17">
        <v>16</v>
      </c>
      <c r="M17">
        <v>14</v>
      </c>
      <c r="N17">
        <v>-22</v>
      </c>
      <c r="O17">
        <v>459</v>
      </c>
      <c r="P17">
        <v>0</v>
      </c>
      <c r="Q17">
        <v>0</v>
      </c>
      <c r="R17">
        <v>0</v>
      </c>
      <c r="S17" t="inlineStr">
        <is>
          <t xml:space="preserve"/>
        </is>
      </c>
      <c r="T17">
        <v>0</v>
      </c>
      <c r="U17">
        <v>0</v>
      </c>
      <c r="V17" t="inlineStr">
        <is>
          <t xml:space="preserve">Ontario electricity transmission and distribution utility serving residential and industrial customers through Hydro One networks.</t>
        </is>
      </c>
      <c r="W17">
        <v>3030</v>
      </c>
      <c r="X17">
        <v>909</v>
      </c>
      <c r="Y17" t="inlineStr">
        <is>
          <t xml:space="preserve">Tier 2</t>
        </is>
      </c>
      <c r="Z17" t="inlineStr">
        <is>
          <t xml:space="preserve">https://www.hydroone.com/</t>
        </is>
      </c>
    </row>
    <row r="18" spans="1:26">
      <c r="A18" t="str" s="2">
        <f>HYPERLINK("https://www.nvrinc.com/","NVR")</f>
        <v>NVR</v>
      </c>
      <c r="B18" t="inlineStr">
        <is>
          <t xml:space="preserve"/>
        </is>
      </c>
      <c r="C18">
        <v>7000</v>
      </c>
      <c r="D18">
        <v>0</v>
      </c>
      <c r="E18">
        <v>43</v>
      </c>
      <c r="F18">
        <v>0</v>
      </c>
      <c r="G18">
        <v>0</v>
      </c>
      <c r="H18" t="inlineStr">
        <is>
          <t xml:space="preserve">#ERROR!</t>
        </is>
      </c>
      <c r="I18" t="inlineStr">
        <is>
          <t xml:space="preserve"/>
        </is>
      </c>
      <c r="J18">
        <v>16</v>
      </c>
      <c r="K18">
        <v>11</v>
      </c>
      <c r="L18">
        <v>45</v>
      </c>
      <c r="M18">
        <v>10</v>
      </c>
      <c r="N18">
        <v>-9</v>
      </c>
      <c r="O18">
        <v>960</v>
      </c>
      <c r="P18" t="inlineStr">
        <is>
          <t xml:space="preserve"/>
        </is>
      </c>
      <c r="Q18" t="inlineStr">
        <is>
          <t xml:space="preserve"/>
        </is>
      </c>
      <c r="R18">
        <v>0</v>
      </c>
      <c r="S18" t="inlineStr">
        <is>
          <t xml:space="preserve"/>
        </is>
      </c>
      <c r="T18" t="inlineStr">
        <is>
          <t xml:space="preserve"/>
        </is>
      </c>
      <c r="U18">
        <v>0</v>
      </c>
      <c r="V18" t="inlineStr">
        <is>
          <t xml:space="preserve">Homebuilder and mortgage company focused on U.S. residential communities; brands include Ryan Homes, NVHomes and Heartland Homes.</t>
        </is>
      </c>
      <c r="W18">
        <v>1400</v>
      </c>
      <c r="X18">
        <v>350</v>
      </c>
      <c r="Y18" t="inlineStr">
        <is>
          <t xml:space="preserve">Tier 3</t>
        </is>
      </c>
      <c r="Z18" t="inlineStr">
        <is>
          <t xml:space="preserve">https://www.nvrinc.com/</t>
        </is>
      </c>
    </row>
    <row r="19" spans="1:26">
      <c r="A19" t="str" s="2">
        <f>HYPERLINK("https://www.snapon.com/","Snap-on")</f>
        <v>Snap-on</v>
      </c>
      <c r="B19" t="inlineStr">
        <is>
          <t xml:space="preserve"/>
        </is>
      </c>
      <c r="C19">
        <v>13000</v>
      </c>
      <c r="D19">
        <v>0</v>
      </c>
      <c r="E19">
        <v>423</v>
      </c>
      <c r="F19">
        <v>14</v>
      </c>
      <c r="G19">
        <v>0</v>
      </c>
      <c r="H19" t="inlineStr">
        <is>
          <t xml:space="preserve">#ERROR!</t>
        </is>
      </c>
      <c r="I19" t="inlineStr">
        <is>
          <t xml:space="preserve"/>
        </is>
      </c>
      <c r="J19">
        <v>171</v>
      </c>
      <c r="K19">
        <v>159</v>
      </c>
      <c r="L19">
        <v>8</v>
      </c>
      <c r="M19">
        <v>114</v>
      </c>
      <c r="N19">
        <v>-10</v>
      </c>
      <c r="O19">
        <v>12849</v>
      </c>
      <c r="P19">
        <v>0</v>
      </c>
      <c r="Q19">
        <v>0</v>
      </c>
      <c r="R19">
        <v>0</v>
      </c>
      <c r="S19">
        <v>125</v>
      </c>
      <c r="T19">
        <v>0</v>
      </c>
      <c r="U19">
        <v>0</v>
      </c>
      <c r="V19" t="inlineStr">
        <is>
          <t xml:space="preserve">Tools, diagnostics and repair-information manufacturer for professional technicians; brands include Snap-on, Mitchell 1 and Norbar.</t>
        </is>
      </c>
      <c r="W19">
        <v>3120</v>
      </c>
      <c r="X19">
        <v>1040</v>
      </c>
      <c r="Y19" t="inlineStr">
        <is>
          <t xml:space="preserve">Tier 2</t>
        </is>
      </c>
      <c r="Z19" t="inlineStr">
        <is>
          <t xml:space="preserve">https://www.snapon.com/</t>
        </is>
      </c>
    </row>
    <row r="20" spans="1:26">
      <c r="A20" t="str" s="2">
        <f>HYPERLINK("https://www.hubbell.com/","Hubbell")</f>
        <v>Hubbell</v>
      </c>
      <c r="B20" t="inlineStr">
        <is>
          <t xml:space="preserve"/>
        </is>
      </c>
      <c r="C20">
        <v>17700</v>
      </c>
      <c r="D20">
        <v>0</v>
      </c>
      <c r="E20">
        <v>116</v>
      </c>
      <c r="F20">
        <v>0</v>
      </c>
      <c r="G20">
        <v>0</v>
      </c>
      <c r="H20" t="inlineStr">
        <is>
          <t xml:space="preserve">#ERROR!</t>
        </is>
      </c>
      <c r="I20" t="inlineStr">
        <is>
          <t xml:space="preserve"/>
        </is>
      </c>
      <c r="J20">
        <v>21</v>
      </c>
      <c r="K20">
        <v>18</v>
      </c>
      <c r="L20">
        <v>17</v>
      </c>
      <c r="M20">
        <v>13</v>
      </c>
      <c r="N20">
        <v>-7</v>
      </c>
      <c r="O20">
        <v>960</v>
      </c>
      <c r="P20">
        <v>0</v>
      </c>
      <c r="Q20">
        <v>0</v>
      </c>
      <c r="R20">
        <v>0</v>
      </c>
      <c r="S20" t="inlineStr">
        <is>
          <t xml:space="preserve"/>
        </is>
      </c>
      <c r="T20">
        <v>0</v>
      </c>
      <c r="U20">
        <v>0</v>
      </c>
      <c r="V20" t="inlineStr">
        <is>
          <t xml:space="preserve">Electrical and utility infrastructure manufacturer; portfolio spans Hubbell Utility Solutions and Hubbell Electrical Solutions brands.</t>
        </is>
      </c>
      <c r="W20">
        <v>4071</v>
      </c>
      <c r="X20">
        <v>1593</v>
      </c>
      <c r="Y20" t="inlineStr">
        <is>
          <t xml:space="preserve">Tier 2</t>
        </is>
      </c>
      <c r="Z20" t="inlineStr">
        <is>
          <t xml:space="preserve">https://www.hubbell.com/</t>
        </is>
      </c>
    </row>
    <row r="21" spans="1:26">
      <c r="A21" t="str" s="2">
        <f>HYPERLINK("https://www.asburyauto.com/","Asbury Automotive Group")</f>
        <v>Asbury Automotive Group</v>
      </c>
      <c r="B21" t="inlineStr">
        <is>
          <t xml:space="preserve"/>
        </is>
      </c>
      <c r="C21">
        <v>15000</v>
      </c>
      <c r="D21">
        <v>0</v>
      </c>
      <c r="E21">
        <v>83</v>
      </c>
      <c r="F21">
        <v>3</v>
      </c>
      <c r="G21">
        <v>0</v>
      </c>
      <c r="H21" t="inlineStr">
        <is>
          <t xml:space="preserve">#ERROR!</t>
        </is>
      </c>
      <c r="I21" t="inlineStr">
        <is>
          <t xml:space="preserve"/>
        </is>
      </c>
      <c r="J21">
        <v>21</v>
      </c>
      <c r="K21">
        <v>24</v>
      </c>
      <c r="L21">
        <v>-13</v>
      </c>
      <c r="M21">
        <v>15</v>
      </c>
      <c r="N21">
        <v>25</v>
      </c>
      <c r="O21">
        <v>2952</v>
      </c>
      <c r="P21">
        <v>0</v>
      </c>
      <c r="Q21">
        <v>0</v>
      </c>
      <c r="R21">
        <v>0</v>
      </c>
      <c r="S21">
        <v>26980</v>
      </c>
      <c r="T21">
        <v>17176</v>
      </c>
      <c r="U21">
        <v>0</v>
      </c>
      <c r="V21" t="inlineStr">
        <is>
          <t xml:space="preserve">Auto retail and service group operating dealerships and digital retailing assets; brands include Asbury, Clicklane and Total Care Auto.</t>
        </is>
      </c>
      <c r="W21">
        <v>3300</v>
      </c>
      <c r="X21">
        <v>600</v>
      </c>
      <c r="Y21" t="inlineStr">
        <is>
          <t xml:space="preserve">Tier 3</t>
        </is>
      </c>
      <c r="Z21" t="inlineStr">
        <is>
          <t xml:space="preserve">https://www.asburyauto.com/</t>
        </is>
      </c>
    </row>
    <row r="22" spans="1:26">
      <c r="A22" t="str" s="2">
        <f>HYPERLINK("https://www.conedison.com/","Consolidated Edison")</f>
        <v>Consolidated Edison</v>
      </c>
      <c r="B22" t="inlineStr">
        <is>
          <t xml:space="preserve"/>
        </is>
      </c>
      <c r="C22">
        <v>15097</v>
      </c>
      <c r="D22">
        <v>0</v>
      </c>
      <c r="E22">
        <v>85</v>
      </c>
      <c r="F22">
        <v>0</v>
      </c>
      <c r="G22">
        <v>0</v>
      </c>
      <c r="H22" t="inlineStr">
        <is>
          <t xml:space="preserve">#ERROR!</t>
        </is>
      </c>
      <c r="I22" t="inlineStr">
        <is>
          <t xml:space="preserve"/>
        </is>
      </c>
      <c r="J22">
        <v>7</v>
      </c>
      <c r="K22">
        <v>6</v>
      </c>
      <c r="L22">
        <v>17</v>
      </c>
      <c r="M22">
        <v>5</v>
      </c>
      <c r="N22">
        <v>0</v>
      </c>
      <c r="O22">
        <v>960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t="inlineStr">
        <is>
          <t xml:space="preserve">Regulated electric, gas and steam utility serving New York-area customers through Con Edison and Orange &amp; Rockland.</t>
        </is>
      </c>
      <c r="W22">
        <v>4680</v>
      </c>
      <c r="X22">
        <v>1510</v>
      </c>
      <c r="Y22" t="inlineStr">
        <is>
          <t xml:space="preserve">Tier 2</t>
        </is>
      </c>
      <c r="Z22" t="inlineStr">
        <is>
          <t xml:space="preserve">https://www.conedison.com/</t>
        </is>
      </c>
    </row>
    <row r="23" spans="1:26">
      <c r="A23" t="str" s="2">
        <f>HYPERLINK("https://www.fsresidential.com/","FirstService Residential")</f>
        <v>FirstService Residential</v>
      </c>
      <c r="B23" t="inlineStr">
        <is>
          <t xml:space="preserve">P1</t>
        </is>
      </c>
      <c r="C23">
        <v>514</v>
      </c>
      <c r="D23">
        <v>0</v>
      </c>
      <c r="E23">
        <v>1492</v>
      </c>
      <c r="F23">
        <v>28</v>
      </c>
      <c r="G23">
        <v>0</v>
      </c>
      <c r="H23" t="inlineStr">
        <is>
          <t xml:space="preserve">#ERROR!</t>
        </is>
      </c>
      <c r="I23" t="inlineStr">
        <is>
          <t xml:space="preserve"/>
        </is>
      </c>
      <c r="J23">
        <v>476</v>
      </c>
      <c r="K23">
        <v>471</v>
      </c>
      <c r="L23">
        <v>1</v>
      </c>
      <c r="M23">
        <v>396</v>
      </c>
      <c r="N23">
        <v>5</v>
      </c>
      <c r="O23">
        <v>29279</v>
      </c>
      <c r="P23">
        <v>0</v>
      </c>
      <c r="Q23">
        <v>0</v>
      </c>
      <c r="R23">
        <v>0</v>
      </c>
      <c r="S23" t="inlineStr">
        <is>
          <t xml:space="preserve"/>
        </is>
      </c>
      <c r="T23">
        <v>0</v>
      </c>
      <c r="U23">
        <v>0</v>
      </c>
      <c r="V23" t="inlineStr">
        <is>
          <t xml:space="preserve">Property-management company for residential communities within FirstService Corporation; sister brands include FirstService Brands and Century Fire.</t>
        </is>
      </c>
      <c r="W23">
        <v>185</v>
      </c>
      <c r="X23">
        <v>15</v>
      </c>
      <c r="Y23" t="inlineStr">
        <is>
          <t xml:space="preserve">Tier 2</t>
        </is>
      </c>
      <c r="Z23" t="inlineStr">
        <is>
          <t xml:space="preserve">https://www.fsresidential.com/</t>
        </is>
      </c>
    </row>
    <row r="24" spans="1:26">
      <c r="A24" t="str" s="2">
        <f>HYPERLINK("https://www.tql.com/","Total Quality Logistics")</f>
        <v>Total Quality Logistics</v>
      </c>
      <c r="B24" t="inlineStr">
        <is>
          <t xml:space="preserve"/>
        </is>
      </c>
      <c r="C24">
        <v>9000</v>
      </c>
      <c r="D24">
        <v>0</v>
      </c>
      <c r="E24">
        <v>2071</v>
      </c>
      <c r="F24">
        <v>1</v>
      </c>
      <c r="G24">
        <v>0</v>
      </c>
      <c r="H24" t="inlineStr">
        <is>
          <t xml:space="preserve">#ERROR!</t>
        </is>
      </c>
      <c r="I24" t="inlineStr">
        <is>
          <t xml:space="preserve"/>
        </is>
      </c>
      <c r="J24">
        <v>332</v>
      </c>
      <c r="K24">
        <v>333</v>
      </c>
      <c r="L24">
        <v>0</v>
      </c>
      <c r="M24">
        <v>223</v>
      </c>
      <c r="N24">
        <v>1</v>
      </c>
      <c r="O24">
        <v>8159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 t="inlineStr">
        <is>
          <t xml:space="preserve">Third-party logistics and freight brokerage company operating under the TQL brand across truckload and supply-chain services.</t>
        </is>
      </c>
      <c r="W24">
        <v>3420</v>
      </c>
      <c r="X24">
        <v>360</v>
      </c>
      <c r="Y24" t="inlineStr">
        <is>
          <t xml:space="preserve">Tier 2</t>
        </is>
      </c>
      <c r="Z24" t="inlineStr">
        <is>
          <t xml:space="preserve">https://www.tql.com/</t>
        </is>
      </c>
    </row>
    <row r="25" spans="1:26">
      <c r="A25" t="str" s="2">
        <f>HYPERLINK("https://diversey.com/","Diversey")</f>
        <v>Diversey</v>
      </c>
      <c r="B25" t="inlineStr">
        <is>
          <t xml:space="preserve"/>
        </is>
      </c>
      <c r="C25">
        <v>9000</v>
      </c>
      <c r="D25">
        <v>0</v>
      </c>
      <c r="E25">
        <v>1437</v>
      </c>
      <c r="F25">
        <v>11</v>
      </c>
      <c r="G25">
        <v>0</v>
      </c>
      <c r="H25" t="inlineStr">
        <is>
          <t xml:space="preserve">#ERROR!</t>
        </is>
      </c>
      <c r="I25" t="inlineStr">
        <is>
          <t xml:space="preserve"/>
        </is>
      </c>
      <c r="J25">
        <v>354</v>
      </c>
      <c r="K25">
        <v>316</v>
      </c>
      <c r="L25">
        <v>12</v>
      </c>
      <c r="M25">
        <v>257</v>
      </c>
      <c r="N25">
        <v>5</v>
      </c>
      <c r="O25">
        <v>9697</v>
      </c>
      <c r="P25">
        <v>0</v>
      </c>
      <c r="Q25">
        <v>0</v>
      </c>
      <c r="R25">
        <v>0</v>
      </c>
      <c r="S25">
        <v>2</v>
      </c>
      <c r="T25">
        <v>0</v>
      </c>
      <c r="U25">
        <v>0</v>
      </c>
      <c r="V25" t="inlineStr">
        <is>
          <t xml:space="preserve">Cleaning, hygiene and infection-prevention products company now part of Solenis; brands include TASKI, Suma and Oxivir.</t>
        </is>
      </c>
      <c r="W25">
        <v>3060</v>
      </c>
      <c r="X25">
        <v>630</v>
      </c>
      <c r="Y25" t="inlineStr">
        <is>
          <t xml:space="preserve">Tier 2</t>
        </is>
      </c>
      <c r="Z25" t="inlineStr">
        <is>
          <t xml:space="preserve">https://diversey.com/</t>
        </is>
      </c>
    </row>
    <row r="26" spans="1:26">
      <c r="A26" t="str" s="2">
        <f>HYPERLINK("https://www.alticeusa.com/","Altice USA")</f>
        <v>Altice USA</v>
      </c>
      <c r="B26" t="inlineStr">
        <is>
          <t xml:space="preserve">P2</t>
        </is>
      </c>
      <c r="C26">
        <v>10900</v>
      </c>
      <c r="D26">
        <v>0</v>
      </c>
      <c r="E26">
        <v>627</v>
      </c>
      <c r="F26">
        <v>25</v>
      </c>
      <c r="G26">
        <v>0</v>
      </c>
      <c r="H26" t="inlineStr">
        <is>
          <t xml:space="preserve">#ERROR!</t>
        </is>
      </c>
      <c r="I26" t="inlineStr">
        <is>
          <t xml:space="preserve"/>
        </is>
      </c>
      <c r="J26">
        <v>184</v>
      </c>
      <c r="K26">
        <v>169</v>
      </c>
      <c r="L26">
        <v>9</v>
      </c>
      <c r="M26">
        <v>135</v>
      </c>
      <c r="N26">
        <v>5</v>
      </c>
      <c r="O26">
        <v>11280</v>
      </c>
      <c r="P26">
        <v>0</v>
      </c>
      <c r="Q26">
        <v>0</v>
      </c>
      <c r="R26">
        <v>0</v>
      </c>
      <c r="S26">
        <v>13</v>
      </c>
      <c r="T26">
        <v>0</v>
      </c>
      <c r="U26">
        <v>1</v>
      </c>
      <c r="V26" t="inlineStr">
        <is>
          <t xml:space="preserve">Cable, broadband and mobile operator behind the Optimum brand; formerly also operated Suddenlink in the U.S. market.</t>
        </is>
      </c>
      <c r="W26">
        <v>5014</v>
      </c>
      <c r="X26">
        <v>1308</v>
      </c>
      <c r="Y26" t="inlineStr">
        <is>
          <t xml:space="preserve">Top 15</t>
        </is>
      </c>
      <c r="Z26" t="inlineStr">
        <is>
          <t xml:space="preserve">https://www.alticeusa.com/</t>
        </is>
      </c>
    </row>
    <row r="27" spans="1:26">
      <c r="A27" t="str" s="2">
        <f>HYPERLINK("https://www.univarsolutions.com/","Univar Solutions Inc.")</f>
        <v>Univar Solutions Inc.</v>
      </c>
      <c r="B27" t="inlineStr">
        <is>
          <t xml:space="preserve"/>
        </is>
      </c>
      <c r="C27">
        <v>10000</v>
      </c>
      <c r="D27">
        <v>0</v>
      </c>
      <c r="E27">
        <v>60</v>
      </c>
      <c r="F27">
        <v>0</v>
      </c>
      <c r="G27">
        <v>0</v>
      </c>
      <c r="H27" t="inlineStr">
        <is>
          <t xml:space="preserve">#ERROR!</t>
        </is>
      </c>
      <c r="I27" t="inlineStr">
        <is>
          <t xml:space="preserve"/>
        </is>
      </c>
      <c r="J27">
        <v>17</v>
      </c>
      <c r="K27">
        <v>15</v>
      </c>
      <c r="L27">
        <v>13</v>
      </c>
      <c r="M27">
        <v>12</v>
      </c>
      <c r="N27">
        <v>0</v>
      </c>
      <c r="O27">
        <v>240</v>
      </c>
      <c r="P27">
        <v>0</v>
      </c>
      <c r="Q27">
        <v>0</v>
      </c>
      <c r="R27">
        <v>0</v>
      </c>
      <c r="S27" t="inlineStr">
        <is>
          <t xml:space="preserve"/>
        </is>
      </c>
      <c r="T27">
        <v>0</v>
      </c>
      <c r="U27">
        <v>0</v>
      </c>
      <c r="V27" t="inlineStr">
        <is>
          <t xml:space="preserve">Global chemicals and ingredients distributor serving industrial and life-sciences customers under the Univar Solutions brand.</t>
        </is>
      </c>
      <c r="W27">
        <v>3000</v>
      </c>
      <c r="X27">
        <v>600</v>
      </c>
      <c r="Y27" t="inlineStr">
        <is>
          <t xml:space="preserve">Tier 3</t>
        </is>
      </c>
      <c r="Z27" t="inlineStr">
        <is>
          <t xml:space="preserve">https://www.univarsolutions.com/</t>
        </is>
      </c>
    </row>
    <row r="28" spans="1:26">
      <c r="A28" t="str" s="2">
        <f>HYPERLINK("https://www.spartannash.com/","Spartannash Company")</f>
        <v>Spartannash Company</v>
      </c>
      <c r="B28" t="inlineStr">
        <is>
          <t xml:space="preserve"/>
        </is>
      </c>
      <c r="C28">
        <v>19000</v>
      </c>
      <c r="D28">
        <v>0</v>
      </c>
      <c r="E28">
        <v>21</v>
      </c>
      <c r="F28">
        <v>0</v>
      </c>
      <c r="G28">
        <v>0</v>
      </c>
      <c r="H28" t="inlineStr">
        <is>
          <t xml:space="preserve">#ERROR!</t>
        </is>
      </c>
      <c r="I28" t="inlineStr">
        <is>
          <t xml:space="preserve"/>
        </is>
      </c>
      <c r="J28">
        <v>4</v>
      </c>
      <c r="K28">
        <v>2</v>
      </c>
      <c r="L28">
        <v>100</v>
      </c>
      <c r="M28">
        <v>2</v>
      </c>
      <c r="N28">
        <v>-50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 t="inlineStr">
        <is>
          <t xml:space="preserve">Food wholesale distribution and grocery retailer; retail banners include Family Fare, Martin's Super Markets and D&amp;W Fresh Market.</t>
        </is>
      </c>
      <c r="W28">
        <v>3610</v>
      </c>
      <c r="X28">
        <v>570</v>
      </c>
      <c r="Y28" t="inlineStr">
        <is>
          <t xml:space="preserve">Tier 3</t>
        </is>
      </c>
      <c r="Z28" t="inlineStr">
        <is>
          <t xml:space="preserve">https://www.spartannash.com/</t>
        </is>
      </c>
    </row>
    <row r="29" spans="1:26">
      <c r="A29" t="str" s="2">
        <f>HYPERLINK("https://pactivevergreen.com/","Pactiv Evergreen Inc.")</f>
        <v>Pactiv Evergreen Inc.</v>
      </c>
      <c r="B29" t="inlineStr">
        <is>
          <t xml:space="preserve"/>
        </is>
      </c>
      <c r="C29">
        <v>15000</v>
      </c>
      <c r="D29">
        <v>0</v>
      </c>
      <c r="E29">
        <v>105</v>
      </c>
      <c r="F29">
        <v>0</v>
      </c>
      <c r="G29">
        <v>0</v>
      </c>
      <c r="H29" t="inlineStr">
        <is>
          <t xml:space="preserve">#ERROR!</t>
        </is>
      </c>
      <c r="I29" t="inlineStr">
        <is>
          <t xml:space="preserve"/>
        </is>
      </c>
      <c r="J29">
        <v>26</v>
      </c>
      <c r="K29">
        <v>26</v>
      </c>
      <c r="L29">
        <v>0</v>
      </c>
      <c r="M29">
        <v>21</v>
      </c>
      <c r="N29">
        <v>11</v>
      </c>
      <c r="O29">
        <v>701</v>
      </c>
      <c r="P29">
        <v>0</v>
      </c>
      <c r="Q29">
        <v>0</v>
      </c>
      <c r="R29">
        <v>0</v>
      </c>
      <c r="S29" t="inlineStr">
        <is>
          <t xml:space="preserve"/>
        </is>
      </c>
      <c r="T29">
        <v>0</v>
      </c>
      <c r="U29">
        <v>0</v>
      </c>
      <c r="V29" t="inlineStr">
        <is>
          <t xml:space="preserve">Foodservice packaging and beverage-carton manufacturer; brands include Pactiv, Evergreen, Fabri-Kal and EarthChoice.</t>
        </is>
      </c>
      <c r="W29">
        <v>2700</v>
      </c>
      <c r="X29">
        <v>900</v>
      </c>
      <c r="Y29" t="inlineStr">
        <is>
          <t xml:space="preserve">Tier 3</t>
        </is>
      </c>
      <c r="Z29" t="inlineStr">
        <is>
          <t xml:space="preserve">https://pactivevergreen.com/</t>
        </is>
      </c>
    </row>
    <row r="30" spans="1:26">
      <c r="A30" t="str" s="2">
        <f>HYPERLINK("https://www.parsons.com/","The Parsons Corporation")</f>
        <v>The Parsons Corporation</v>
      </c>
      <c r="B30" t="inlineStr">
        <is>
          <t xml:space="preserve"/>
        </is>
      </c>
      <c r="C30">
        <v>10300</v>
      </c>
      <c r="D30">
        <v>0</v>
      </c>
      <c r="E30">
        <v>726</v>
      </c>
      <c r="F30">
        <v>5</v>
      </c>
      <c r="G30">
        <v>0</v>
      </c>
      <c r="H30" t="inlineStr">
        <is>
          <t xml:space="preserve">#ERROR!</t>
        </is>
      </c>
      <c r="I30" t="inlineStr">
        <is>
          <t xml:space="preserve"/>
        </is>
      </c>
      <c r="J30">
        <v>199</v>
      </c>
      <c r="K30">
        <v>195</v>
      </c>
      <c r="L30">
        <v>2</v>
      </c>
      <c r="M30">
        <v>143</v>
      </c>
      <c r="N30">
        <v>0</v>
      </c>
      <c r="O30">
        <v>5730</v>
      </c>
      <c r="P30">
        <v>0</v>
      </c>
      <c r="Q30">
        <v>0</v>
      </c>
      <c r="R30">
        <v>0</v>
      </c>
      <c r="S30">
        <v>5</v>
      </c>
      <c r="T30">
        <v>0</v>
      </c>
      <c r="U30">
        <v>1</v>
      </c>
      <c r="V30" t="inlineStr">
        <is>
          <t xml:space="preserve">Engineering, defense, cyber and infrastructure contractor serving governments and critical-infrastructure clients under Parsons.</t>
        </is>
      </c>
      <c r="W30">
        <v>7004</v>
      </c>
      <c r="X30">
        <v>2060</v>
      </c>
      <c r="Y30" t="inlineStr">
        <is>
          <t xml:space="preserve">Top 15</t>
        </is>
      </c>
      <c r="Z30" t="inlineStr">
        <is>
          <t xml:space="preserve">https://www.parsons.com/</t>
        </is>
      </c>
    </row>
    <row r="31" spans="1:26">
      <c r="A31" t="str" s="2">
        <f>HYPERLINK("https://www.moog.com/","Moog Inc.")</f>
        <v>Moog Inc.</v>
      </c>
      <c r="B31" t="inlineStr">
        <is>
          <t xml:space="preserve"/>
        </is>
      </c>
      <c r="C31">
        <v>13500</v>
      </c>
      <c r="D31">
        <v>0</v>
      </c>
      <c r="E31">
        <v>155</v>
      </c>
      <c r="F31">
        <v>1</v>
      </c>
      <c r="G31">
        <v>0</v>
      </c>
      <c r="H31" t="inlineStr">
        <is>
          <t xml:space="preserve">#ERROR!</t>
        </is>
      </c>
      <c r="I31" t="inlineStr">
        <is>
          <t xml:space="preserve"/>
        </is>
      </c>
      <c r="J31">
        <v>39</v>
      </c>
      <c r="K31">
        <v>39</v>
      </c>
      <c r="L31">
        <v>0</v>
      </c>
      <c r="M31">
        <v>24</v>
      </c>
      <c r="N31">
        <v>9</v>
      </c>
      <c r="O31">
        <v>240</v>
      </c>
      <c r="P31">
        <v>0</v>
      </c>
      <c r="Q31">
        <v>0</v>
      </c>
      <c r="R31">
        <v>0</v>
      </c>
      <c r="S31" t="inlineStr">
        <is>
          <t xml:space="preserve"/>
        </is>
      </c>
      <c r="T31">
        <v>0</v>
      </c>
      <c r="U31">
        <v>0</v>
      </c>
      <c r="V31" t="inlineStr">
        <is>
          <t xml:space="preserve">Motion-control and precision-components manufacturer serving aerospace, defense and industrial markets under the Moog brand.</t>
        </is>
      </c>
      <c r="W31">
        <v>3780</v>
      </c>
      <c r="X31">
        <v>1755</v>
      </c>
      <c r="Y31" t="inlineStr">
        <is>
          <t xml:space="preserve">Tier 2</t>
        </is>
      </c>
      <c r="Z31" t="inlineStr">
        <is>
          <t xml:space="preserve">https://www.moog.com/</t>
        </is>
      </c>
    </row>
    <row r="32" spans="1:26">
      <c r="A32" t="str" s="2">
        <f>HYPERLINK("https://www.westfraser.com/","West Fraser Mills Ltd")</f>
        <v>West Fraser Mills Ltd</v>
      </c>
      <c r="B32" t="inlineStr">
        <is>
          <t xml:space="preserve"/>
        </is>
      </c>
      <c r="C32">
        <v>6800</v>
      </c>
      <c r="D32">
        <v>0</v>
      </c>
      <c r="E32">
        <v>165</v>
      </c>
      <c r="F32">
        <v>0</v>
      </c>
      <c r="G32">
        <v>0</v>
      </c>
      <c r="H32" t="inlineStr">
        <is>
          <t xml:space="preserve">#ERROR!</t>
        </is>
      </c>
      <c r="I32" t="inlineStr">
        <is>
          <t xml:space="preserve"/>
        </is>
      </c>
      <c r="J32">
        <v>36</v>
      </c>
      <c r="K32">
        <v>37</v>
      </c>
      <c r="L32">
        <v>-3</v>
      </c>
      <c r="M32">
        <v>24</v>
      </c>
      <c r="N32">
        <v>9</v>
      </c>
      <c r="O32">
        <v>480</v>
      </c>
      <c r="P32">
        <v>0</v>
      </c>
      <c r="Q32">
        <v>0</v>
      </c>
      <c r="R32">
        <v>0</v>
      </c>
      <c r="S32" t="inlineStr">
        <is>
          <t xml:space="preserve"/>
        </is>
      </c>
      <c r="T32">
        <v>0</v>
      </c>
      <c r="U32">
        <v>0</v>
      </c>
      <c r="V32" t="inlineStr">
        <is>
          <t xml:space="preserve">Wood-products and lumber producer with mills across North America and Europe; brands include West Fraser and Norbord legacy panels.</t>
        </is>
      </c>
      <c r="W32">
        <v>952</v>
      </c>
      <c r="X32">
        <v>272</v>
      </c>
      <c r="Y32" t="inlineStr">
        <is>
          <t xml:space="preserve">Tier 3</t>
        </is>
      </c>
      <c r="Z32" t="inlineStr">
        <is>
          <t xml:space="preserve">https://www.westfraser.com/</t>
        </is>
      </c>
    </row>
    <row r="33" spans="1:26">
      <c r="A33" t="str" s="2">
        <f>HYPERLINK("https://www.curtisswright.com/","Curtiss-Wright Corporation")</f>
        <v>Curtiss-Wright Corporation</v>
      </c>
      <c r="B33" t="inlineStr">
        <is>
          <t xml:space="preserve"/>
        </is>
      </c>
      <c r="C33">
        <v>8800</v>
      </c>
      <c r="D33">
        <v>0</v>
      </c>
      <c r="E33">
        <v>32</v>
      </c>
      <c r="F33">
        <v>0</v>
      </c>
      <c r="G33">
        <v>0</v>
      </c>
      <c r="H33" t="inlineStr">
        <is>
          <t xml:space="preserve">#ERROR!</t>
        </is>
      </c>
      <c r="I33" t="inlineStr">
        <is>
          <t xml:space="preserve"/>
        </is>
      </c>
      <c r="J33">
        <v>13</v>
      </c>
      <c r="K33">
        <v>12</v>
      </c>
      <c r="L33">
        <v>8</v>
      </c>
      <c r="M33">
        <v>12</v>
      </c>
      <c r="N33">
        <v>20</v>
      </c>
      <c r="O33">
        <v>240</v>
      </c>
      <c r="P33">
        <v>0</v>
      </c>
      <c r="Q33">
        <v>0</v>
      </c>
      <c r="R33">
        <v>0</v>
      </c>
      <c r="S33" t="inlineStr">
        <is>
          <t xml:space="preserve"/>
        </is>
      </c>
      <c r="T33">
        <v>0</v>
      </c>
      <c r="U33">
        <v>0</v>
      </c>
      <c r="V33" t="inlineStr">
        <is>
          <t xml:space="preserve">Defense, aerospace and industrial engineering company; portfolio includes Curtiss-Wright Defense Solutions and industrial control businesses.</t>
        </is>
      </c>
      <c r="W33">
        <v>2640</v>
      </c>
      <c r="X33">
        <v>1232</v>
      </c>
      <c r="Y33" t="inlineStr">
        <is>
          <t xml:space="preserve">Tier 2</t>
        </is>
      </c>
      <c r="Z33" t="inlineStr">
        <is>
          <t xml:space="preserve">https://www.curtisswright.com/</t>
        </is>
      </c>
    </row>
    <row r="34" spans="1:26">
      <c r="A34" t="str" s="2">
        <f>HYPERLINK("https://www.revgroup.com/","Rev Group, Inc.")</f>
        <v>Rev Group, Inc.</v>
      </c>
      <c r="B34" t="inlineStr">
        <is>
          <t xml:space="preserve"/>
        </is>
      </c>
      <c r="C34">
        <v>5700</v>
      </c>
      <c r="D34">
        <v>0</v>
      </c>
      <c r="E34">
        <v>65</v>
      </c>
      <c r="F34">
        <v>2</v>
      </c>
      <c r="G34">
        <v>0</v>
      </c>
      <c r="H34" t="inlineStr">
        <is>
          <t xml:space="preserve">#ERROR!</t>
        </is>
      </c>
      <c r="I34" t="inlineStr">
        <is>
          <t xml:space="preserve"/>
        </is>
      </c>
      <c r="J34">
        <v>26</v>
      </c>
      <c r="K34">
        <v>22</v>
      </c>
      <c r="L34">
        <v>18</v>
      </c>
      <c r="M34">
        <v>23</v>
      </c>
      <c r="N34">
        <v>0</v>
      </c>
      <c r="O34">
        <v>1800</v>
      </c>
      <c r="P34">
        <v>0</v>
      </c>
      <c r="Q34">
        <v>0</v>
      </c>
      <c r="R34">
        <v>0</v>
      </c>
      <c r="S34" t="inlineStr">
        <is>
          <t xml:space="preserve"/>
        </is>
      </c>
      <c r="T34">
        <v>0</v>
      </c>
      <c r="U34">
        <v>0</v>
      </c>
      <c r="V34" t="inlineStr">
        <is>
          <t xml:space="preserve">Specialty vehicle manufacturer for fire, emergency, commercial and recreation markets; brands include E-ONE, Collins, Fleetwood RV and Blue Arc.</t>
        </is>
      </c>
      <c r="W34">
        <v>1026</v>
      </c>
      <c r="X34">
        <v>342</v>
      </c>
      <c r="Y34" t="inlineStr">
        <is>
          <t xml:space="preserve">Tier 3</t>
        </is>
      </c>
      <c r="Z34" t="inlineStr">
        <is>
          <t xml:space="preserve">https://www.revgroup.com/</t>
        </is>
      </c>
    </row>
    <row r="35" spans="1:26">
      <c r="A35" t="str" s="2">
        <f>HYPERLINK("https://www.wabash.com/","Wabash National Corporation")</f>
        <v>Wabash National Corporation</v>
      </c>
      <c r="B35" t="inlineStr">
        <is>
          <t xml:space="preserve"/>
        </is>
      </c>
      <c r="C35">
        <v>6000</v>
      </c>
      <c r="D35">
        <v>0</v>
      </c>
      <c r="E35">
        <v>128</v>
      </c>
      <c r="F35">
        <v>1</v>
      </c>
      <c r="G35">
        <v>0</v>
      </c>
      <c r="H35" t="inlineStr">
        <is>
          <t xml:space="preserve">#ERROR!</t>
        </is>
      </c>
      <c r="I35" t="inlineStr">
        <is>
          <t xml:space="preserve"/>
        </is>
      </c>
      <c r="J35">
        <v>52</v>
      </c>
      <c r="K35">
        <v>41</v>
      </c>
      <c r="L35">
        <v>27</v>
      </c>
      <c r="M35">
        <v>35</v>
      </c>
      <c r="N35">
        <v>0</v>
      </c>
      <c r="O35">
        <v>1200</v>
      </c>
      <c r="P35">
        <v>0</v>
      </c>
      <c r="Q35">
        <v>0</v>
      </c>
      <c r="R35">
        <v>0</v>
      </c>
      <c r="S35" t="inlineStr">
        <is>
          <t xml:space="preserve"/>
        </is>
      </c>
      <c r="T35">
        <v>0</v>
      </c>
      <c r="U35">
        <v>0</v>
      </c>
      <c r="V35" t="inlineStr">
        <is>
          <t xml:space="preserve">Transportation-equipment manufacturer building trailers, truck bodies and logistics solutions under Wabash and Trailers as a Service.</t>
        </is>
      </c>
      <c r="W35">
        <v>1200</v>
      </c>
      <c r="X35">
        <v>480</v>
      </c>
      <c r="Y35" t="inlineStr">
        <is>
          <t xml:space="preserve">Tier 3</t>
        </is>
      </c>
      <c r="Z35" t="inlineStr">
        <is>
          <t xml:space="preserve">https://www.wabash.com/</t>
        </is>
      </c>
    </row>
    <row r="36" spans="1:26">
      <c r="A36" t="str" s="2">
        <f>HYPERLINK("https://www.franklinwater.com/","Franklin Electric Co., Inc.")</f>
        <v>Franklin Electric Co., Inc.</v>
      </c>
      <c r="B36" t="inlineStr">
        <is>
          <t xml:space="preserve"/>
        </is>
      </c>
      <c r="C36">
        <v>6400</v>
      </c>
      <c r="D36">
        <v>0</v>
      </c>
      <c r="E36">
        <v>3</v>
      </c>
      <c r="F36">
        <v>0</v>
      </c>
      <c r="G36">
        <v>0</v>
      </c>
      <c r="H36" t="inlineStr">
        <is>
          <t xml:space="preserve">#ERROR!</t>
        </is>
      </c>
      <c r="I36" t="inlineStr">
        <is>
          <t xml:space="preserve"/>
        </is>
      </c>
      <c r="J36">
        <v>0</v>
      </c>
      <c r="K36">
        <v>0</v>
      </c>
      <c r="L36" t="inlineStr">
        <is>
          <t xml:space="preserve"/>
        </is>
      </c>
      <c r="M36">
        <v>0</v>
      </c>
      <c r="N36" t="inlineStr">
        <is>
          <t xml:space="preserve"/>
        </is>
      </c>
      <c r="O36">
        <v>0</v>
      </c>
      <c r="P36" t="inlineStr">
        <is>
          <t xml:space="preserve"/>
        </is>
      </c>
      <c r="Q36" t="inlineStr">
        <is>
          <t xml:space="preserve"/>
        </is>
      </c>
      <c r="R36">
        <v>0</v>
      </c>
      <c r="S36" t="inlineStr">
        <is>
          <t xml:space="preserve"/>
        </is>
      </c>
      <c r="T36" t="inlineStr">
        <is>
          <t xml:space="preserve"/>
        </is>
      </c>
      <c r="U36">
        <v>0</v>
      </c>
      <c r="V36" t="inlineStr">
        <is>
          <t xml:space="preserve">Water and fueling systems manufacturer; brands include Franklin Electric, Little Giant, FPS and Fueling Systems.</t>
        </is>
      </c>
      <c r="W36">
        <v>1536</v>
      </c>
      <c r="X36">
        <v>576</v>
      </c>
      <c r="Y36" t="inlineStr">
        <is>
          <t xml:space="preserve">Tier 3</t>
        </is>
      </c>
      <c r="Z36" t="inlineStr">
        <is>
          <t xml:space="preserve">https://www.franklinwater.com/</t>
        </is>
      </c>
    </row>
    <row r="37" spans="1:26">
      <c r="A37" t="str" s="2">
        <f>HYPERLINK("https://www.transitchicago.com/","Chicago Transit Authority Inc.")</f>
        <v>Chicago Transit Authority Inc.</v>
      </c>
      <c r="B37" t="inlineStr">
        <is>
          <t xml:space="preserve"/>
        </is>
      </c>
      <c r="C37">
        <v>9939</v>
      </c>
      <c r="D37">
        <v>0</v>
      </c>
      <c r="E37">
        <v>50</v>
      </c>
      <c r="F37">
        <v>0</v>
      </c>
      <c r="G37">
        <v>0</v>
      </c>
      <c r="H37" t="inlineStr">
        <is>
          <t xml:space="preserve">#ERROR!</t>
        </is>
      </c>
      <c r="I37" t="inlineStr">
        <is>
          <t xml:space="preserve"/>
        </is>
      </c>
      <c r="J37">
        <v>20</v>
      </c>
      <c r="K37">
        <v>19</v>
      </c>
      <c r="L37">
        <v>5</v>
      </c>
      <c r="M37">
        <v>15</v>
      </c>
      <c r="N37">
        <v>15</v>
      </c>
      <c r="O37">
        <v>0</v>
      </c>
      <c r="P37" t="inlineStr">
        <is>
          <t xml:space="preserve"/>
        </is>
      </c>
      <c r="Q37" t="inlineStr">
        <is>
          <t xml:space="preserve"/>
        </is>
      </c>
      <c r="R37">
        <v>0</v>
      </c>
      <c r="S37" t="inlineStr">
        <is>
          <t xml:space="preserve"/>
        </is>
      </c>
      <c r="T37" t="inlineStr">
        <is>
          <t xml:space="preserve"/>
        </is>
      </c>
      <c r="U37">
        <v>0</v>
      </c>
      <c r="V37" t="inlineStr">
        <is>
          <t xml:space="preserve">Public transit agency operating Chicago's rail and bus network under the CTA system brand.</t>
        </is>
      </c>
      <c r="W37">
        <v>2982</v>
      </c>
      <c r="X37">
        <v>696</v>
      </c>
      <c r="Y37" t="inlineStr">
        <is>
          <t xml:space="preserve">Tier 3</t>
        </is>
      </c>
      <c r="Z37" t="inlineStr">
        <is>
          <t xml:space="preserve">https://www.transitchicago.com/</t>
        </is>
      </c>
    </row>
    <row r="38" spans="1:26">
      <c r="A38" t="str" s="2">
        <f>HYPERLINK("https://www.whitecap.com/","White Cap, L.P.")</f>
        <v>White Cap, L.P.</v>
      </c>
      <c r="B38" t="inlineStr">
        <is>
          <t xml:space="preserve"/>
        </is>
      </c>
      <c r="C38">
        <v>10500</v>
      </c>
      <c r="D38">
        <v>0</v>
      </c>
      <c r="E38">
        <v>43</v>
      </c>
      <c r="F38">
        <v>0</v>
      </c>
      <c r="G38">
        <v>0</v>
      </c>
      <c r="H38" t="inlineStr">
        <is>
          <t xml:space="preserve">#ERROR!</t>
        </is>
      </c>
      <c r="I38" t="inlineStr">
        <is>
          <t xml:space="preserve"/>
        </is>
      </c>
      <c r="J38">
        <v>18</v>
      </c>
      <c r="K38">
        <v>14</v>
      </c>
      <c r="L38">
        <v>29</v>
      </c>
      <c r="M38">
        <v>12</v>
      </c>
      <c r="N38">
        <v>0</v>
      </c>
      <c r="O38">
        <v>701</v>
      </c>
      <c r="P38" t="inlineStr">
        <is>
          <t xml:space="preserve"/>
        </is>
      </c>
      <c r="Q38" t="inlineStr">
        <is>
          <t xml:space="preserve"/>
        </is>
      </c>
      <c r="R38">
        <v>0</v>
      </c>
      <c r="S38" t="inlineStr">
        <is>
          <t xml:space="preserve"/>
        </is>
      </c>
      <c r="T38" t="inlineStr">
        <is>
          <t xml:space="preserve"/>
        </is>
      </c>
      <c r="U38">
        <v>0</v>
      </c>
      <c r="V38" t="inlineStr">
        <is>
          <t xml:space="preserve">Specialty distributor of construction and industrial supplies serving contractors nationwide under the White Cap brand.</t>
        </is>
      </c>
      <c r="W38">
        <v>2100</v>
      </c>
      <c r="X38">
        <v>315</v>
      </c>
      <c r="Y38" t="inlineStr">
        <is>
          <t xml:space="preserve">Tier 3</t>
        </is>
      </c>
      <c r="Z38" t="inlineStr">
        <is>
          <t xml:space="preserve">https://www.whitecap.com/</t>
        </is>
      </c>
    </row>
    <row r="39" spans="1:26">
      <c r="A39" t="str" s="2">
        <f>HYPERLINK("https://www.sunchemical.com/","Sun Chemical Corporation")</f>
        <v>Sun Chemical Corporation</v>
      </c>
      <c r="B39" t="inlineStr">
        <is>
          <t xml:space="preserve"/>
        </is>
      </c>
      <c r="C39">
        <v>11000</v>
      </c>
      <c r="D39">
        <v>0</v>
      </c>
      <c r="E39">
        <v>142</v>
      </c>
      <c r="F39">
        <v>0</v>
      </c>
      <c r="G39">
        <v>0</v>
      </c>
      <c r="H39" t="inlineStr">
        <is>
          <t xml:space="preserve">#ERROR!</t>
        </is>
      </c>
      <c r="I39" t="inlineStr">
        <is>
          <t xml:space="preserve"/>
        </is>
      </c>
      <c r="J39">
        <v>23</v>
      </c>
      <c r="K39">
        <v>23</v>
      </c>
      <c r="L39">
        <v>0</v>
      </c>
      <c r="M39">
        <v>18</v>
      </c>
      <c r="N39">
        <v>38</v>
      </c>
      <c r="O39">
        <v>513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 t="inlineStr">
        <is>
          <t xml:space="preserve">Printing inks, pigments and materials-science company owned by DIC Corporation; brands include Sun Chemical and SunJet.</t>
        </is>
      </c>
      <c r="W39">
        <v>2640</v>
      </c>
      <c r="X39">
        <v>880</v>
      </c>
      <c r="Y39" t="inlineStr">
        <is>
          <t xml:space="preserve">Tier 3</t>
        </is>
      </c>
      <c r="Z39" t="inlineStr">
        <is>
          <t xml:space="preserve">https://www.sunchemical.com/</t>
        </is>
      </c>
    </row>
    <row r="40" spans="1:26">
      <c r="A40" t="str" s="2">
        <f>HYPERLINK("https://www.spplus.com/","Sp Plus Corporation")</f>
        <v>Sp Plus Corporation</v>
      </c>
      <c r="B40" t="inlineStr">
        <is>
          <t xml:space="preserve"/>
        </is>
      </c>
      <c r="C40">
        <v>19900</v>
      </c>
      <c r="D40">
        <v>0</v>
      </c>
      <c r="E40">
        <v>247</v>
      </c>
      <c r="F40">
        <v>0</v>
      </c>
      <c r="G40">
        <v>0</v>
      </c>
      <c r="H40" t="inlineStr">
        <is>
          <t xml:space="preserve">#ERROR!</t>
        </is>
      </c>
      <c r="I40" t="inlineStr">
        <is>
          <t xml:space="preserve"/>
        </is>
      </c>
      <c r="J40">
        <v>8</v>
      </c>
      <c r="K40">
        <v>4</v>
      </c>
      <c r="L40">
        <v>100</v>
      </c>
      <c r="M40">
        <v>5</v>
      </c>
      <c r="N40">
        <v>-17</v>
      </c>
      <c r="O40">
        <v>240</v>
      </c>
      <c r="P40">
        <v>0</v>
      </c>
      <c r="Q40">
        <v>0</v>
      </c>
      <c r="R40">
        <v>0</v>
      </c>
      <c r="S40" t="inlineStr">
        <is>
          <t xml:space="preserve"/>
        </is>
      </c>
      <c r="T40">
        <v>0</v>
      </c>
      <c r="U40">
        <v>0</v>
      </c>
      <c r="V40" t="inlineStr">
        <is>
          <t xml:space="preserve">Parking, mobility and facility-services operator; brands include SP+, Metropolis integrations and Sphere commerce solutions.</t>
        </is>
      </c>
      <c r="W40">
        <v>5572</v>
      </c>
      <c r="X40">
        <v>995</v>
      </c>
      <c r="Y40" t="inlineStr">
        <is>
          <t xml:space="preserve">Tier 2</t>
        </is>
      </c>
      <c r="Z40" t="inlineStr">
        <is>
          <t xml:space="preserve">https://www.spplus.com/</t>
        </is>
      </c>
    </row>
    <row r="41" spans="1:26">
      <c r="A41" t="str" s="2">
        <f>HYPERLINK("https://gentherm.com/","Gentherm Incorporated")</f>
        <v>Gentherm Incorporated</v>
      </c>
      <c r="B41" t="inlineStr">
        <is>
          <t xml:space="preserve"/>
        </is>
      </c>
      <c r="C41">
        <v>14246</v>
      </c>
      <c r="D41">
        <v>0</v>
      </c>
      <c r="E41">
        <v>201</v>
      </c>
      <c r="F41">
        <v>1</v>
      </c>
      <c r="G41">
        <v>0</v>
      </c>
      <c r="H41" t="inlineStr">
        <is>
          <t xml:space="preserve">#ERROR!</t>
        </is>
      </c>
      <c r="I41" t="inlineStr">
        <is>
          <t xml:space="preserve"/>
        </is>
      </c>
      <c r="J41">
        <v>63</v>
      </c>
      <c r="K41">
        <v>61</v>
      </c>
      <c r="L41">
        <v>3</v>
      </c>
      <c r="M41">
        <v>43</v>
      </c>
      <c r="N41">
        <v>-16</v>
      </c>
      <c r="O41">
        <v>2100</v>
      </c>
      <c r="P41">
        <v>0</v>
      </c>
      <c r="Q41">
        <v>0</v>
      </c>
      <c r="R41">
        <v>0</v>
      </c>
      <c r="S41" t="inlineStr">
        <is>
          <t xml:space="preserve"/>
        </is>
      </c>
      <c r="T41">
        <v>0</v>
      </c>
      <c r="U41">
        <v>1</v>
      </c>
      <c r="V41" t="inlineStr">
        <is>
          <t xml:space="preserve">Automotive thermal-management and medical patient-temperature technology company; brands include ClimateSense and WellSense.</t>
        </is>
      </c>
      <c r="W41">
        <v>3419</v>
      </c>
      <c r="X41">
        <v>1710</v>
      </c>
      <c r="Y41" t="inlineStr">
        <is>
          <t xml:space="preserve">Tier 2</t>
        </is>
      </c>
      <c r="Z41" t="inlineStr">
        <is>
          <t xml:space="preserve">https://gentherm.com/</t>
        </is>
      </c>
    </row>
    <row r="42" spans="1:26">
      <c r="A42" t="str" s="2">
        <f>HYPERLINK("https://www.cdmsmith.com/","CDM Smith Inc")</f>
        <v>CDM Smith Inc</v>
      </c>
      <c r="B42" t="inlineStr">
        <is>
          <t xml:space="preserve"/>
        </is>
      </c>
      <c r="C42">
        <v>6000</v>
      </c>
      <c r="D42">
        <v>0</v>
      </c>
      <c r="E42">
        <v>463</v>
      </c>
      <c r="F42">
        <v>4</v>
      </c>
      <c r="G42">
        <v>0</v>
      </c>
      <c r="H42" t="inlineStr">
        <is>
          <t xml:space="preserve">#ERROR!</t>
        </is>
      </c>
      <c r="I42" t="inlineStr">
        <is>
          <t xml:space="preserve"/>
        </is>
      </c>
      <c r="J42">
        <v>115</v>
      </c>
      <c r="K42">
        <v>113</v>
      </c>
      <c r="L42">
        <v>2</v>
      </c>
      <c r="M42">
        <v>87</v>
      </c>
      <c r="N42">
        <v>2</v>
      </c>
      <c r="O42">
        <v>3480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t="inlineStr">
        <is>
          <t xml:space="preserve">Engineering, environmental and construction-services firm serving water, transportation and public-sector clients under CDM Smith.</t>
        </is>
      </c>
      <c r="W42">
        <v>3780</v>
      </c>
      <c r="X42">
        <v>1080</v>
      </c>
      <c r="Y42" t="inlineStr">
        <is>
          <t xml:space="preserve">Tier 2</t>
        </is>
      </c>
      <c r="Z42" t="inlineStr">
        <is>
          <t xml:space="preserve">https://www.cdmsmith.com/</t>
        </is>
      </c>
    </row>
    <row r="43" spans="1:26">
      <c r="A43" t="str" s="2">
        <f>HYPERLINK("https://www.kencogroup.com/","Kenco Group")</f>
        <v>Kenco Group</v>
      </c>
      <c r="B43" t="inlineStr">
        <is>
          <t xml:space="preserve"/>
        </is>
      </c>
      <c r="C43">
        <v>5800</v>
      </c>
      <c r="D43">
        <v>0</v>
      </c>
      <c r="E43">
        <v>195</v>
      </c>
      <c r="F43">
        <v>2</v>
      </c>
      <c r="G43">
        <v>0</v>
      </c>
      <c r="H43" t="inlineStr">
        <is>
          <t xml:space="preserve">#ERROR!</t>
        </is>
      </c>
      <c r="I43" t="inlineStr">
        <is>
          <t xml:space="preserve"/>
        </is>
      </c>
      <c r="J43">
        <v>74</v>
      </c>
      <c r="K43">
        <v>74</v>
      </c>
      <c r="L43">
        <v>0</v>
      </c>
      <c r="M43">
        <v>56</v>
      </c>
      <c r="N43">
        <v>-14</v>
      </c>
      <c r="O43">
        <v>4080</v>
      </c>
      <c r="P43">
        <v>0</v>
      </c>
      <c r="Q43">
        <v>0</v>
      </c>
      <c r="R43">
        <v>0</v>
      </c>
      <c r="S43">
        <v>741</v>
      </c>
      <c r="T43">
        <v>122</v>
      </c>
      <c r="U43">
        <v>0</v>
      </c>
      <c r="V43" t="inlineStr">
        <is>
          <t xml:space="preserve">Logistics, warehousing and transportation-services company operating Kenco, Kenco Engineering and material-handling solutions.</t>
        </is>
      </c>
      <c r="W43">
        <v>1508</v>
      </c>
      <c r="X43">
        <v>290</v>
      </c>
      <c r="Y43" t="inlineStr">
        <is>
          <t xml:space="preserve">Tier 2</t>
        </is>
      </c>
      <c r="Z43" t="inlineStr">
        <is>
          <t xml:space="preserve">https://www.kencogroup.com/</t>
        </is>
      </c>
    </row>
    <row r="44" spans="1:26">
      <c r="A44" t="str" s="2">
        <f>HYPERLINK("https://www.daymon.com/","Daymon Worldwide Inc.")</f>
        <v>Daymon Worldwide Inc.</v>
      </c>
      <c r="B44" t="inlineStr">
        <is>
          <t xml:space="preserve"/>
        </is>
      </c>
      <c r="C44">
        <v>6105</v>
      </c>
      <c r="D44">
        <v>0</v>
      </c>
      <c r="E44">
        <v>86</v>
      </c>
      <c r="F44">
        <v>0</v>
      </c>
      <c r="G44">
        <v>0</v>
      </c>
      <c r="H44" t="inlineStr">
        <is>
          <t xml:space="preserve">#ERROR!</t>
        </is>
      </c>
      <c r="I44" t="inlineStr">
        <is>
          <t xml:space="preserve"/>
        </is>
      </c>
      <c r="J44">
        <v>14</v>
      </c>
      <c r="K44">
        <v>14</v>
      </c>
      <c r="L44">
        <v>0</v>
      </c>
      <c r="M44">
        <v>9</v>
      </c>
      <c r="N44">
        <v>-18</v>
      </c>
      <c r="O44">
        <v>960</v>
      </c>
      <c r="P44">
        <v>0</v>
      </c>
      <c r="Q44">
        <v>0</v>
      </c>
      <c r="R44">
        <v>0</v>
      </c>
      <c r="S44" t="inlineStr">
        <is>
          <t xml:space="preserve"/>
        </is>
      </c>
      <c r="T44">
        <v>0</v>
      </c>
      <c r="U44">
        <v>0</v>
      </c>
      <c r="V44" t="inlineStr">
        <is>
          <t xml:space="preserve">Private-brand consulting, merchandising and retail services business within Advantage Solutions; works alongside Advantage Sales and retail-agency brands.</t>
        </is>
      </c>
      <c r="W44">
        <v>3052</v>
      </c>
      <c r="X44">
        <v>244</v>
      </c>
      <c r="Y44" t="inlineStr">
        <is>
          <t xml:space="preserve">Tier 2</t>
        </is>
      </c>
      <c r="Z44" t="inlineStr">
        <is>
          <t xml:space="preserve">https://www.daymon.com/</t>
        </is>
      </c>
    </row>
    <row r="45" spans="1:26">
      <c r="A45" t="str" s="2">
        <f>HYPERLINK("https://www.msxi.com/","Msx International, Inc.")</f>
        <v>Msx International, Inc.</v>
      </c>
      <c r="B45" t="inlineStr">
        <is>
          <t xml:space="preserve"/>
        </is>
      </c>
      <c r="C45">
        <v>5000</v>
      </c>
      <c r="D45">
        <v>0</v>
      </c>
      <c r="E45">
        <v>107</v>
      </c>
      <c r="F45">
        <v>0</v>
      </c>
      <c r="G45">
        <v>0</v>
      </c>
      <c r="H45" t="inlineStr">
        <is>
          <t xml:space="preserve">#ERROR!</t>
        </is>
      </c>
      <c r="I45" t="inlineStr">
        <is>
          <t xml:space="preserve"/>
        </is>
      </c>
      <c r="J45">
        <v>13</v>
      </c>
      <c r="K45">
        <v>14</v>
      </c>
      <c r="L45">
        <v>-7</v>
      </c>
      <c r="M45">
        <v>8</v>
      </c>
      <c r="N45">
        <v>-11</v>
      </c>
      <c r="O45">
        <v>514</v>
      </c>
      <c r="P45">
        <v>0</v>
      </c>
      <c r="Q45">
        <v>0</v>
      </c>
      <c r="R45">
        <v>0</v>
      </c>
      <c r="S45" t="inlineStr">
        <is>
          <t xml:space="preserve"/>
        </is>
      </c>
      <c r="T45">
        <v>0</v>
      </c>
      <c r="U45">
        <v>0</v>
      </c>
      <c r="V45" t="inlineStr">
        <is>
          <t xml:space="preserve">Business-process outsourcing and consulting company for automotive and industrial clients under the MSX International brand.</t>
        </is>
      </c>
      <c r="W45">
        <v>2800</v>
      </c>
      <c r="X45">
        <v>300</v>
      </c>
      <c r="Y45" t="inlineStr">
        <is>
          <t xml:space="preserve">Tier 2</t>
        </is>
      </c>
      <c r="Z45" t="inlineStr">
        <is>
          <t xml:space="preserve">https://www.msxi.com/</t>
        </is>
      </c>
    </row>
    <row r="46" spans="1:26">
      <c r="A46" t="str" s="2">
        <f>HYPERLINK("https://www.rjet.com/","Republic Airways Inc.")</f>
        <v>Republic Airways Inc.</v>
      </c>
      <c r="B46" t="inlineStr">
        <is>
          <t xml:space="preserve"/>
        </is>
      </c>
      <c r="C46">
        <v>5581</v>
      </c>
      <c r="D46">
        <v>0</v>
      </c>
      <c r="E46">
        <v>21</v>
      </c>
      <c r="F46">
        <v>0</v>
      </c>
      <c r="G46">
        <v>0</v>
      </c>
      <c r="H46" t="inlineStr">
        <is>
          <t xml:space="preserve">#ERROR!</t>
        </is>
      </c>
      <c r="I46" t="inlineStr">
        <is>
          <t xml:space="preserve"/>
        </is>
      </c>
      <c r="J46">
        <v>6</v>
      </c>
      <c r="K46">
        <v>5</v>
      </c>
      <c r="L46">
        <v>20</v>
      </c>
      <c r="M46">
        <v>3</v>
      </c>
      <c r="N46">
        <v>-25</v>
      </c>
      <c r="O46">
        <v>0</v>
      </c>
      <c r="P46">
        <v>0</v>
      </c>
      <c r="Q46">
        <v>0</v>
      </c>
      <c r="R46">
        <v>0</v>
      </c>
      <c r="S46" t="inlineStr">
        <is>
          <t xml:space="preserve"/>
        </is>
      </c>
      <c r="T46">
        <v>0</v>
      </c>
      <c r="U46">
        <v>0</v>
      </c>
      <c r="V46" t="inlineStr">
        <is>
          <t xml:space="preserve">Regional airline operating feeder service for major carriers; flies under American Eagle, Delta Connection and United Express agreements.</t>
        </is>
      </c>
      <c r="W46">
        <v>1563</v>
      </c>
      <c r="X46">
        <v>446</v>
      </c>
      <c r="Y46" t="inlineStr">
        <is>
          <t xml:space="preserve">Tier 3</t>
        </is>
      </c>
      <c r="Z46" t="inlineStr">
        <is>
          <t xml:space="preserve">https://www.rjet.com/</t>
        </is>
      </c>
    </row>
    <row r="47" spans="1:26">
      <c r="A47" t="str" s="2">
        <f>HYPERLINK("https://www.amerigas.com/","AmeriGas")</f>
        <v>AmeriGas</v>
      </c>
      <c r="B47" t="inlineStr">
        <is>
          <t xml:space="preserve"/>
        </is>
      </c>
      <c r="C47">
        <v>4850</v>
      </c>
      <c r="D47">
        <v>0</v>
      </c>
      <c r="E47">
        <v>16</v>
      </c>
      <c r="F47">
        <v>0</v>
      </c>
      <c r="G47">
        <v>0</v>
      </c>
      <c r="H47" t="inlineStr">
        <is>
          <t xml:space="preserve">#ERROR!</t>
        </is>
      </c>
      <c r="I47" t="inlineStr">
        <is>
          <t xml:space="preserve"/>
        </is>
      </c>
      <c r="J47">
        <v>0</v>
      </c>
      <c r="K47">
        <v>0</v>
      </c>
      <c r="L47" t="inlineStr">
        <is>
          <t xml:space="preserve"/>
        </is>
      </c>
      <c r="M47">
        <v>0</v>
      </c>
      <c r="N47" t="inlineStr">
        <is>
          <t xml:space="preserve"/>
        </is>
      </c>
      <c r="O47">
        <v>0</v>
      </c>
      <c r="P47">
        <v>0</v>
      </c>
      <c r="Q47">
        <v>0</v>
      </c>
      <c r="R47">
        <v>0</v>
      </c>
      <c r="S47" t="inlineStr">
        <is>
          <t xml:space="preserve"/>
        </is>
      </c>
      <c r="T47">
        <v>0</v>
      </c>
      <c r="U47">
        <v>0</v>
      </c>
      <c r="V47" t="inlineStr">
        <is>
          <t xml:space="preserve">Propane distribution company owned by UGI Corporation, serving residential and commercial customers under the AmeriGas brand.</t>
        </is>
      </c>
      <c r="W47">
        <v>970</v>
      </c>
      <c r="X47">
        <v>146</v>
      </c>
      <c r="Y47" t="inlineStr">
        <is>
          <t xml:space="preserve">Tier 3</t>
        </is>
      </c>
      <c r="Z47" t="inlineStr">
        <is>
          <t xml:space="preserve">https://www.amerigas.com/</t>
        </is>
      </c>
    </row>
    <row r="48" spans="1:26">
      <c r="A48" t="str" s="2">
        <f>HYPERLINK("https://www.gdeb.com/","Electric Boat Corporation")</f>
        <v>Electric Boat Corporation</v>
      </c>
      <c r="B48" t="inlineStr">
        <is>
          <t xml:space="preserve"/>
        </is>
      </c>
      <c r="C48">
        <v>10500</v>
      </c>
      <c r="D48">
        <v>0</v>
      </c>
      <c r="E48">
        <v>6</v>
      </c>
      <c r="F48">
        <v>0</v>
      </c>
      <c r="G48">
        <v>0</v>
      </c>
      <c r="H48" t="inlineStr">
        <is>
          <t xml:space="preserve">#ERROR!</t>
        </is>
      </c>
      <c r="I48" t="inlineStr">
        <is>
          <t xml:space="preserve"/>
        </is>
      </c>
      <c r="J48">
        <v>1</v>
      </c>
      <c r="K48">
        <v>1</v>
      </c>
      <c r="L48">
        <v>0</v>
      </c>
      <c r="M48">
        <v>1</v>
      </c>
      <c r="N48">
        <v>0</v>
      </c>
      <c r="O48">
        <v>0</v>
      </c>
      <c r="P48" t="inlineStr">
        <is>
          <t xml:space="preserve"/>
        </is>
      </c>
      <c r="Q48" t="inlineStr">
        <is>
          <t xml:space="preserve"/>
        </is>
      </c>
      <c r="R48">
        <v>0</v>
      </c>
      <c r="S48" t="inlineStr">
        <is>
          <t xml:space="preserve"/>
        </is>
      </c>
      <c r="T48" t="inlineStr">
        <is>
          <t xml:space="preserve"/>
        </is>
      </c>
      <c r="U48">
        <v>0</v>
      </c>
      <c r="V48" t="inlineStr">
        <is>
          <t xml:space="preserve">Submarine design and shipbuilding company within General Dynamics; major programs include Virginia and Columbia-class boats.</t>
        </is>
      </c>
      <c r="W48">
        <v>4410</v>
      </c>
      <c r="X48">
        <v>1995</v>
      </c>
      <c r="Y48" t="inlineStr">
        <is>
          <t xml:space="preserve">Tier 2</t>
        </is>
      </c>
      <c r="Z48" t="inlineStr">
        <is>
          <t xml:space="preserve">https://www.gdeb.com/</t>
        </is>
      </c>
    </row>
    <row r="49" spans="1:26">
      <c r="A49" t="str" s="2">
        <f>HYPERLINK("https://www.10jqka.com.cn/","Hithink RoyalFlush Information Network Co. Ltd")</f>
        <v>Hithink RoyalFlush Information Network Co. Ltd</v>
      </c>
      <c r="B49" t="inlineStr">
        <is>
          <t xml:space="preserve"/>
        </is>
      </c>
      <c r="C49">
        <v>5492</v>
      </c>
      <c r="D49">
        <v>0</v>
      </c>
      <c r="E49">
        <v>1</v>
      </c>
      <c r="F49">
        <v>0</v>
      </c>
      <c r="G49">
        <v>0</v>
      </c>
      <c r="H49" t="inlineStr">
        <is>
          <t xml:space="preserve">#ERROR!</t>
        </is>
      </c>
      <c r="I49" t="inlineStr">
        <is>
          <t xml:space="preserve"/>
        </is>
      </c>
      <c r="J49">
        <v>0</v>
      </c>
      <c r="K49">
        <v>0</v>
      </c>
      <c r="L49" t="inlineStr">
        <is>
          <t xml:space="preserve"/>
        </is>
      </c>
      <c r="M49">
        <v>0</v>
      </c>
      <c r="N49" t="inlineStr">
        <is>
          <t xml:space="preserve"/>
        </is>
      </c>
      <c r="O49">
        <v>0</v>
      </c>
      <c r="P49">
        <v>0</v>
      </c>
      <c r="Q49">
        <v>0</v>
      </c>
      <c r="R49">
        <v>0</v>
      </c>
      <c r="S49">
        <v>156</v>
      </c>
      <c r="T49">
        <v>0</v>
      </c>
      <c r="U49">
        <v>0</v>
      </c>
      <c r="V49" t="inlineStr">
        <is>
          <t xml:space="preserve">Chinese fintech and financial-information company behind the Tonghuashun and iFinD platforms for investors and institutions.</t>
        </is>
      </c>
      <c r="W49">
        <v>4064</v>
      </c>
      <c r="X49">
        <v>1318</v>
      </c>
      <c r="Y49" t="inlineStr">
        <is>
          <t xml:space="preserve">Tier 2</t>
        </is>
      </c>
      <c r="Z49" t="inlineStr">
        <is>
          <t xml:space="preserve">https://www.10jqka.com.cn/</t>
        </is>
      </c>
    </row>
    <row r="50" spans="1:26">
      <c r="A50" t="str" s="2">
        <f>HYPERLINK("https://www.videotron.com/","Videotron Service Informatique Ltee")</f>
        <v>Videotron Service Informatique Ltee</v>
      </c>
      <c r="B50" t="inlineStr">
        <is>
          <t xml:space="preserve"/>
        </is>
      </c>
      <c r="C50">
        <v>7195</v>
      </c>
      <c r="D50">
        <v>0</v>
      </c>
      <c r="E50">
        <v>139</v>
      </c>
      <c r="F50">
        <v>0</v>
      </c>
      <c r="G50">
        <v>0</v>
      </c>
      <c r="H50" t="inlineStr">
        <is>
          <t xml:space="preserve">#ERROR!</t>
        </is>
      </c>
      <c r="I50" t="inlineStr">
        <is>
          <t xml:space="preserve"/>
        </is>
      </c>
      <c r="J50">
        <v>27</v>
      </c>
      <c r="K50">
        <v>29</v>
      </c>
      <c r="L50">
        <v>-7</v>
      </c>
      <c r="M50">
        <v>17</v>
      </c>
      <c r="N50">
        <v>-6</v>
      </c>
      <c r="O50">
        <v>220</v>
      </c>
      <c r="P50">
        <v>0</v>
      </c>
      <c r="Q50">
        <v>0</v>
      </c>
      <c r="R50">
        <v>0</v>
      </c>
      <c r="S50" t="inlineStr">
        <is>
          <t xml:space="preserve"/>
        </is>
      </c>
      <c r="T50">
        <v>0</v>
      </c>
      <c r="U50">
        <v>0</v>
      </c>
      <c r="V50" t="inlineStr">
        <is>
          <t xml:space="preserve">IT and telecom operating entity supporting Videotron's broadband, wireless and media services within Quebecor's telecom portfolio.</t>
        </is>
      </c>
      <c r="W50">
        <v>3310</v>
      </c>
      <c r="X50">
        <v>935</v>
      </c>
      <c r="Y50" t="inlineStr">
        <is>
          <t xml:space="preserve">Tier 2</t>
        </is>
      </c>
      <c r="Z50" t="inlineStr">
        <is>
          <t xml:space="preserve">https://www.videotron.com/</t>
        </is>
      </c>
    </row>
    <row r="51" spans="1:26">
      <c r="A51" t="str" s="2">
        <f>HYPERLINK("https://www.bellmedia.ca/","Bell Media Inc")</f>
        <v>Bell Media Inc</v>
      </c>
      <c r="B51" t="inlineStr">
        <is>
          <t xml:space="preserve"/>
        </is>
      </c>
      <c r="C51">
        <v>5500</v>
      </c>
      <c r="D51">
        <v>0</v>
      </c>
      <c r="E51">
        <v>236</v>
      </c>
      <c r="F51">
        <v>2</v>
      </c>
      <c r="G51">
        <v>0</v>
      </c>
      <c r="H51" t="inlineStr">
        <is>
          <t xml:space="preserve">#ERROR!</t>
        </is>
      </c>
      <c r="I51" t="inlineStr">
        <is>
          <t xml:space="preserve"/>
        </is>
      </c>
      <c r="J51">
        <v>49</v>
      </c>
      <c r="K51">
        <v>52</v>
      </c>
      <c r="L51">
        <v>-6</v>
      </c>
      <c r="M51">
        <v>37</v>
      </c>
      <c r="N51">
        <v>-8</v>
      </c>
      <c r="O51">
        <v>2956</v>
      </c>
      <c r="P51">
        <v>0</v>
      </c>
      <c r="Q51">
        <v>0</v>
      </c>
      <c r="R51">
        <v>0</v>
      </c>
      <c r="S51">
        <v>6</v>
      </c>
      <c r="T51">
        <v>46</v>
      </c>
      <c r="U51">
        <v>0</v>
      </c>
      <c r="V51" t="inlineStr">
        <is>
          <t xml:space="preserve">Canadian media company within BCE/Bell Canada; brands include CTV, Crave, TSN, RDS and iHeartRadio Canada.</t>
        </is>
      </c>
      <c r="W51">
        <v>3850</v>
      </c>
      <c r="X51">
        <v>440</v>
      </c>
      <c r="Y51" t="inlineStr">
        <is>
          <t xml:space="preserve">Top 15</t>
        </is>
      </c>
      <c r="Z51" t="inlineStr">
        <is>
          <t xml:space="preserve">https://www.bellmedia.ca/</t>
        </is>
      </c>
    </row>
    <row r="52" spans="1:26">
      <c r="A52" t="str" s="2">
        <f>HYPERLINK("https://www.nba.com/blazers/","Rip City Management LLC")</f>
        <v>Rip City Management LLC</v>
      </c>
      <c r="B52" t="inlineStr">
        <is>
          <t xml:space="preserve"/>
        </is>
      </c>
      <c r="C52">
        <v>6550</v>
      </c>
      <c r="D52">
        <v>0</v>
      </c>
      <c r="E52">
        <v>176</v>
      </c>
      <c r="F52">
        <v>39</v>
      </c>
      <c r="G52">
        <v>0</v>
      </c>
      <c r="H52" t="inlineStr">
        <is>
          <t xml:space="preserve">#ERROR!</t>
        </is>
      </c>
      <c r="I52" t="inlineStr">
        <is>
          <t xml:space="preserve"/>
        </is>
      </c>
      <c r="J52">
        <v>77</v>
      </c>
      <c r="K52">
        <v>79</v>
      </c>
      <c r="L52">
        <v>-3</v>
      </c>
      <c r="M52">
        <v>60</v>
      </c>
      <c r="N52">
        <v>-9</v>
      </c>
      <c r="O52">
        <v>15336</v>
      </c>
      <c r="P52">
        <v>0</v>
      </c>
      <c r="Q52">
        <v>0</v>
      </c>
      <c r="R52">
        <v>0</v>
      </c>
      <c r="S52">
        <v>24</v>
      </c>
      <c r="T52">
        <v>3</v>
      </c>
      <c r="U52">
        <v>2</v>
      </c>
      <c r="V52" t="inlineStr">
        <is>
          <t xml:space="preserve">Business entity for the Portland Trail Blazers NBA franchise; associated brands include Trail Blazers, Rip City and Moda Center events.</t>
        </is>
      </c>
      <c r="W52">
        <v>2358</v>
      </c>
      <c r="X52">
        <v>262</v>
      </c>
      <c r="Y52" t="inlineStr">
        <is>
          <t xml:space="preserve">Tier 2</t>
        </is>
      </c>
      <c r="Z52" t="inlineStr">
        <is>
          <t xml:space="preserve">https://www.nba.com/blazers/</t>
        </is>
      </c>
    </row>
    <row r="53" spans="1:26">
      <c r="A53" t="str" s="2">
        <f>HYPERLINK("https://www.sigmaes.com/","Sigma Engineered Solutions")</f>
        <v>Sigma Engineered Solutions</v>
      </c>
      <c r="B53" t="inlineStr">
        <is>
          <t xml:space="preserve"/>
        </is>
      </c>
      <c r="C53">
        <v>5000</v>
      </c>
      <c r="D53">
        <v>0</v>
      </c>
      <c r="E53">
        <v>127</v>
      </c>
      <c r="F53">
        <v>25</v>
      </c>
      <c r="G53">
        <v>0</v>
      </c>
      <c r="H53" t="inlineStr">
        <is>
          <t xml:space="preserve">#ERROR!</t>
        </is>
      </c>
      <c r="I53" t="inlineStr">
        <is>
          <t xml:space="preserve"/>
        </is>
      </c>
      <c r="J53">
        <v>31</v>
      </c>
      <c r="K53">
        <v>28</v>
      </c>
      <c r="L53">
        <v>11</v>
      </c>
      <c r="M53">
        <v>24</v>
      </c>
      <c r="N53">
        <v>14</v>
      </c>
      <c r="O53">
        <v>7800</v>
      </c>
      <c r="P53">
        <v>0</v>
      </c>
      <c r="Q53">
        <v>0</v>
      </c>
      <c r="R53">
        <v>0</v>
      </c>
      <c r="S53" t="inlineStr">
        <is>
          <t xml:space="preserve"/>
        </is>
      </c>
      <c r="T53">
        <v>0</v>
      </c>
      <c r="U53">
        <v>1</v>
      </c>
      <c r="V53" t="inlineStr">
        <is>
          <t xml:space="preserve">Precision metal and engineered-components manufacturer serving electrical, industrial and infrastructure markets under Sigma Engineered Solutions.</t>
        </is>
      </c>
      <c r="W53">
        <v>1100</v>
      </c>
      <c r="X53">
        <v>400</v>
      </c>
      <c r="Y53" t="inlineStr">
        <is>
          <t xml:space="preserve">Tier 2</t>
        </is>
      </c>
      <c r="Z53" t="inlineStr">
        <is>
          <t xml:space="preserve">https://www.sigmaes.com/</t>
        </is>
      </c>
    </row>
    <row r="54" spans="1:26">
      <c r="A54" t="str" s="2">
        <f>HYPERLINK("https://www.longandfoster.com/","Long &amp; Foster Companies")</f>
        <v>Long &amp; Foster Companies</v>
      </c>
      <c r="B54" t="inlineStr">
        <is>
          <t xml:space="preserve"/>
        </is>
      </c>
      <c r="C54">
        <v>8500</v>
      </c>
      <c r="D54">
        <v>0</v>
      </c>
      <c r="E54">
        <v>423</v>
      </c>
      <c r="F54">
        <v>10</v>
      </c>
      <c r="G54">
        <v>0</v>
      </c>
      <c r="H54" t="inlineStr">
        <is>
          <t xml:space="preserve">#ERROR!</t>
        </is>
      </c>
      <c r="I54" t="inlineStr">
        <is>
          <t xml:space="preserve"/>
        </is>
      </c>
      <c r="J54">
        <v>180</v>
      </c>
      <c r="K54">
        <v>169</v>
      </c>
      <c r="L54">
        <v>7</v>
      </c>
      <c r="M54">
        <v>122</v>
      </c>
      <c r="N54">
        <v>-6</v>
      </c>
      <c r="O54">
        <v>14542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 t="inlineStr">
        <is>
          <t xml:space="preserve">Residential real-estate brokerage, mortgage and title-services company owned by HomeServices of America, a Berkshire Hathaway affiliate.</t>
        </is>
      </c>
      <c r="W54">
        <v>2805</v>
      </c>
      <c r="X54">
        <v>255</v>
      </c>
      <c r="Y54" t="inlineStr">
        <is>
          <t xml:space="preserve">Tier 2</t>
        </is>
      </c>
      <c r="Z54" t="inlineStr">
        <is>
          <t xml:space="preserve">https://www.longandfoster.com/</t>
        </is>
      </c>
    </row>
    <row r="55" spans="1:26">
      <c r="A55" t="str" s="2">
        <f>HYPERLINK("https://mblawfirm.com/","Mandelbaum Barrett")</f>
        <v>Mandelbaum Barrett</v>
      </c>
      <c r="B55" t="inlineStr">
        <is>
          <t xml:space="preserve"/>
        </is>
      </c>
      <c r="C55">
        <v>9000</v>
      </c>
      <c r="D55">
        <v>0</v>
      </c>
      <c r="E55">
        <v>77</v>
      </c>
      <c r="F55">
        <v>3</v>
      </c>
      <c r="G55">
        <v>35</v>
      </c>
      <c r="H55" t="inlineStr">
        <is>
          <t xml:space="preserve">#ERROR!</t>
        </is>
      </c>
      <c r="I55">
        <v>82</v>
      </c>
      <c r="J55">
        <v>50</v>
      </c>
      <c r="K55">
        <v>21</v>
      </c>
      <c r="L55">
        <v>138</v>
      </c>
      <c r="M55">
        <v>44</v>
      </c>
      <c r="N55">
        <v>19</v>
      </c>
      <c r="O55">
        <v>1320</v>
      </c>
      <c r="P55">
        <v>0</v>
      </c>
      <c r="Q55">
        <v>0</v>
      </c>
      <c r="R55">
        <v>0</v>
      </c>
      <c r="S55" t="inlineStr">
        <is>
          <t xml:space="preserve"/>
        </is>
      </c>
      <c r="T55">
        <v>0</v>
      </c>
      <c r="U55">
        <v>1</v>
      </c>
      <c r="V55" t="inlineStr">
        <is>
          <t xml:space="preserve">Law firm serving corporate, litigation, real-estate and private-client matters under the Mandelbaum Barrett brand.</t>
        </is>
      </c>
      <c r="W55">
        <v>6840</v>
      </c>
      <c r="X55">
        <v>180</v>
      </c>
      <c r="Y55" t="inlineStr">
        <is>
          <t xml:space="preserve">Tier 2</t>
        </is>
      </c>
      <c r="Z55" t="inlineStr">
        <is>
          <t xml:space="preserve">https://mblawfirm.com/</t>
        </is>
      </c>
    </row>
    <row r="56" spans="1:26">
      <c r="A56" t="str" s="2">
        <f>HYPERLINK("https://www.efficientlearning.com/","Wiley Accounting Certifications and Careers")</f>
        <v>Wiley Accounting Certifications and Careers</v>
      </c>
      <c r="B56" t="inlineStr">
        <is>
          <t xml:space="preserve"/>
        </is>
      </c>
      <c r="C56">
        <v>8800</v>
      </c>
      <c r="D56">
        <v>0</v>
      </c>
      <c r="E56">
        <v>474</v>
      </c>
      <c r="F56">
        <v>199</v>
      </c>
      <c r="G56">
        <v>0</v>
      </c>
      <c r="H56" t="inlineStr">
        <is>
          <t xml:space="preserve">#ERROR!</t>
        </is>
      </c>
      <c r="I56" t="inlineStr">
        <is>
          <t xml:space="preserve"/>
        </is>
      </c>
      <c r="J56">
        <v>259</v>
      </c>
      <c r="K56">
        <v>245</v>
      </c>
      <c r="L56">
        <v>6</v>
      </c>
      <c r="M56">
        <v>204</v>
      </c>
      <c r="N56">
        <v>-6</v>
      </c>
      <c r="O56">
        <v>60780</v>
      </c>
      <c r="P56">
        <v>0</v>
      </c>
      <c r="Q56">
        <v>0</v>
      </c>
      <c r="R56">
        <v>0</v>
      </c>
      <c r="S56">
        <v>12222</v>
      </c>
      <c r="T56">
        <v>29426</v>
      </c>
      <c r="U56">
        <v>0</v>
      </c>
      <c r="V56" t="inlineStr">
        <is>
          <t xml:space="preserve">Professional test-prep and accounting-learning business within Wiley; brands include Wiley Efficient Learning and CPAexcel.</t>
        </is>
      </c>
      <c r="W56">
        <v>6864</v>
      </c>
      <c r="X56">
        <v>528</v>
      </c>
      <c r="Y56" t="inlineStr">
        <is>
          <t xml:space="preserve">Top 15</t>
        </is>
      </c>
      <c r="Z56" t="inlineStr">
        <is>
          <t xml:space="preserve">https://www.efficientlearning.com/</t>
        </is>
      </c>
    </row>
    <row r="57" spans="1:26">
      <c r="A57" t="str" s="2">
        <f>HYPERLINK("https://www.redapplegroup.com/","Red Apple Group")</f>
        <v>Red Apple Group</v>
      </c>
      <c r="B57" t="inlineStr">
        <is>
          <t xml:space="preserve"/>
        </is>
      </c>
      <c r="C57">
        <v>8000</v>
      </c>
      <c r="D57">
        <v>0</v>
      </c>
      <c r="E57">
        <v>17</v>
      </c>
      <c r="F57">
        <v>1</v>
      </c>
      <c r="G57">
        <v>0</v>
      </c>
      <c r="H57" t="inlineStr">
        <is>
          <t xml:space="preserve">#ERROR!</t>
        </is>
      </c>
      <c r="I57" t="inlineStr">
        <is>
          <t xml:space="preserve"/>
        </is>
      </c>
      <c r="J57">
        <v>6</v>
      </c>
      <c r="K57">
        <v>9</v>
      </c>
      <c r="L57">
        <v>-33</v>
      </c>
      <c r="M57">
        <v>6</v>
      </c>
      <c r="N57">
        <v>50</v>
      </c>
      <c r="O57">
        <v>5520</v>
      </c>
      <c r="P57">
        <v>0</v>
      </c>
      <c r="Q57">
        <v>0</v>
      </c>
      <c r="R57">
        <v>0</v>
      </c>
      <c r="S57">
        <v>781</v>
      </c>
      <c r="T57">
        <v>4964</v>
      </c>
      <c r="U57">
        <v>1</v>
      </c>
      <c r="V57" t="inlineStr">
        <is>
          <t xml:space="preserve">Holding company with energy, retail, real-estate and finance assets; associated brands include United Refining, Gristedes and D'Agostino.</t>
        </is>
      </c>
      <c r="W57">
        <v>2560</v>
      </c>
      <c r="X57">
        <v>320</v>
      </c>
      <c r="Y57" t="inlineStr">
        <is>
          <t xml:space="preserve">Tier 3</t>
        </is>
      </c>
      <c r="Z57" t="inlineStr">
        <is>
          <t xml:space="preserve">https://www.redapplegroup.com/</t>
        </is>
      </c>
    </row>
    <row r="58" spans="1:26">
      <c r="A58" t="str" s="2">
        <f>HYPERLINK("https://www.ellisdon.com/","EllisDon")</f>
        <v>EllisDon</v>
      </c>
      <c r="B58" t="inlineStr">
        <is>
          <t xml:space="preserve"/>
        </is>
      </c>
      <c r="C58">
        <v>5000</v>
      </c>
      <c r="D58">
        <v>0</v>
      </c>
      <c r="E58">
        <v>719</v>
      </c>
      <c r="F58">
        <v>1</v>
      </c>
      <c r="G58">
        <v>0</v>
      </c>
      <c r="H58" t="inlineStr">
        <is>
          <t xml:space="preserve">#ERROR!</t>
        </is>
      </c>
      <c r="I58" t="inlineStr">
        <is>
          <t xml:space="preserve"/>
        </is>
      </c>
      <c r="J58">
        <v>235</v>
      </c>
      <c r="K58">
        <v>218</v>
      </c>
      <c r="L58">
        <v>8</v>
      </c>
      <c r="M58">
        <v>173</v>
      </c>
      <c r="N58">
        <v>4</v>
      </c>
      <c r="O58">
        <v>1927</v>
      </c>
      <c r="P58">
        <v>0</v>
      </c>
      <c r="Q58">
        <v>0</v>
      </c>
      <c r="R58">
        <v>0</v>
      </c>
      <c r="S58">
        <v>2</v>
      </c>
      <c r="T58">
        <v>0</v>
      </c>
      <c r="U58">
        <v>0</v>
      </c>
      <c r="V58" t="inlineStr">
        <is>
          <t xml:space="preserve">Construction and project-delivery company active in building, infrastructure and facilities services under the EllisDon brand.</t>
        </is>
      </c>
      <c r="W58">
        <v>1400</v>
      </c>
      <c r="X58">
        <v>400</v>
      </c>
      <c r="Y58" t="inlineStr">
        <is>
          <t xml:space="preserve">Tier 2</t>
        </is>
      </c>
      <c r="Z58" t="inlineStr">
        <is>
          <t xml:space="preserve">https://www.ellisdon.com/</t>
        </is>
      </c>
    </row>
    <row r="59" spans="1:26">
      <c r="A59" t="str" s="2">
        <f>HYPERLINK("https://www.howardhanna.com/","Howard Hanna | Rand Realty")</f>
        <v>Howard Hanna | Rand Realty</v>
      </c>
      <c r="B59" t="inlineStr">
        <is>
          <t xml:space="preserve"/>
        </is>
      </c>
      <c r="C59">
        <v>11000</v>
      </c>
      <c r="D59">
        <v>0</v>
      </c>
      <c r="E59">
        <v>359</v>
      </c>
      <c r="F59">
        <v>6</v>
      </c>
      <c r="G59">
        <v>0</v>
      </c>
      <c r="H59" t="inlineStr">
        <is>
          <t xml:space="preserve">#ERROR!</t>
        </is>
      </c>
      <c r="I59" t="inlineStr">
        <is>
          <t xml:space="preserve"/>
        </is>
      </c>
      <c r="J59">
        <v>170</v>
      </c>
      <c r="K59">
        <v>157</v>
      </c>
      <c r="L59">
        <v>8</v>
      </c>
      <c r="M59">
        <v>118</v>
      </c>
      <c r="N59">
        <v>-4</v>
      </c>
      <c r="O59">
        <v>12790</v>
      </c>
      <c r="P59">
        <v>0</v>
      </c>
      <c r="Q59">
        <v>0</v>
      </c>
      <c r="R59">
        <v>0</v>
      </c>
      <c r="S59" t="inlineStr">
        <is>
          <t xml:space="preserve"/>
        </is>
      </c>
      <c r="T59">
        <v>0</v>
      </c>
      <c r="U59">
        <v>0</v>
      </c>
      <c r="V59" t="inlineStr">
        <is>
          <t xml:space="preserve">Residential real-estate brokerage business within Howard Hanna Real Estate Services; Rand Realty operates as a regional brand in the network.</t>
        </is>
      </c>
      <c r="W59">
        <v>3740</v>
      </c>
      <c r="X59">
        <v>330</v>
      </c>
      <c r="Y59" t="inlineStr">
        <is>
          <t xml:space="preserve">Tier 2</t>
        </is>
      </c>
      <c r="Z59" t="inlineStr">
        <is>
          <t xml:space="preserve">https://www.howardhanna.com/</t>
        </is>
      </c>
    </row>
    <row r="60" spans="1:26">
      <c r="A60" t="str" s="2">
        <f>HYPERLINK("https://www.performancecontracting.com/","Performance Contracting, Inc. (PCI)")</f>
        <v>Performance Contracting, Inc. (PCI)</v>
      </c>
      <c r="B60" t="inlineStr">
        <is>
          <t xml:space="preserve"/>
        </is>
      </c>
      <c r="C60">
        <v>8900</v>
      </c>
      <c r="D60">
        <v>0</v>
      </c>
      <c r="E60">
        <v>283</v>
      </c>
      <c r="F60">
        <v>10</v>
      </c>
      <c r="G60">
        <v>0</v>
      </c>
      <c r="H60" t="inlineStr">
        <is>
          <t xml:space="preserve">#ERROR!</t>
        </is>
      </c>
      <c r="I60" t="inlineStr">
        <is>
          <t xml:space="preserve"/>
        </is>
      </c>
      <c r="J60">
        <v>135</v>
      </c>
      <c r="K60">
        <v>130</v>
      </c>
      <c r="L60">
        <v>4</v>
      </c>
      <c r="M60">
        <v>106</v>
      </c>
      <c r="N60">
        <v>7</v>
      </c>
      <c r="O60">
        <v>11111</v>
      </c>
      <c r="P60">
        <v>0</v>
      </c>
      <c r="Q60">
        <v>0</v>
      </c>
      <c r="R60">
        <v>0</v>
      </c>
      <c r="S60">
        <v>14</v>
      </c>
      <c r="T60">
        <v>0</v>
      </c>
      <c r="U60">
        <v>0</v>
      </c>
      <c r="V60" t="inlineStr">
        <is>
          <t xml:space="preserve">Specialty contractor focused on insulation, interior systems, coatings and cleanroom work under the PCI brand.</t>
        </is>
      </c>
      <c r="W60">
        <v>2136</v>
      </c>
      <c r="X60">
        <v>534</v>
      </c>
      <c r="Y60" t="inlineStr">
        <is>
          <t xml:space="preserve">Tier 2</t>
        </is>
      </c>
      <c r="Z60" t="inlineStr">
        <is>
          <t xml:space="preserve">https://www.performancecontracting.com/</t>
        </is>
      </c>
    </row>
    <row r="61" spans="1:26">
      <c r="A61" t="str" s="2">
        <f>HYPERLINK("https://www.gpstrategies.com/","GP Strategies Corporation")</f>
        <v>GP Strategies Corporation</v>
      </c>
      <c r="B61" t="inlineStr">
        <is>
          <t xml:space="preserve"/>
        </is>
      </c>
      <c r="C61">
        <v>5000</v>
      </c>
      <c r="D61">
        <v>0</v>
      </c>
      <c r="E61">
        <v>341</v>
      </c>
      <c r="F61">
        <v>0</v>
      </c>
      <c r="G61">
        <v>0</v>
      </c>
      <c r="H61" t="inlineStr">
        <is>
          <t xml:space="preserve">#ERROR!</t>
        </is>
      </c>
      <c r="I61" t="inlineStr">
        <is>
          <t xml:space="preserve"/>
        </is>
      </c>
      <c r="J61">
        <v>55</v>
      </c>
      <c r="K61">
        <v>48</v>
      </c>
      <c r="L61">
        <v>15</v>
      </c>
      <c r="M61">
        <v>40</v>
      </c>
      <c r="N61">
        <v>5</v>
      </c>
      <c r="O61">
        <v>1680</v>
      </c>
      <c r="P61">
        <v>0</v>
      </c>
      <c r="Q61">
        <v>0</v>
      </c>
      <c r="R61">
        <v>0</v>
      </c>
      <c r="S61" t="inlineStr">
        <is>
          <t xml:space="preserve"/>
        </is>
      </c>
      <c r="T61">
        <v>0</v>
      </c>
      <c r="U61">
        <v>0</v>
      </c>
      <c r="V61" t="inlineStr">
        <is>
          <t xml:space="preserve">Workforce transformation and learning-services company acquired by Learning Technologies Group; brands include GP Strategies and related LTG learning platforms.</t>
        </is>
      </c>
      <c r="W61">
        <v>3700</v>
      </c>
      <c r="X61">
        <v>350</v>
      </c>
      <c r="Y61" t="inlineStr">
        <is>
          <t xml:space="preserve">Top 15</t>
        </is>
      </c>
      <c r="Z61" t="inlineStr">
        <is>
          <t xml:space="preserve">https://www.gpstrategies.com/</t>
        </is>
      </c>
    </row>
    <row r="62" spans="1:26">
      <c r="A62" t="str" s="2">
        <f>HYPERLINK("https://www.employbridge.com/","Employbridge")</f>
        <v>Employbridge</v>
      </c>
      <c r="B62" t="inlineStr">
        <is>
          <t xml:space="preserve"/>
        </is>
      </c>
      <c r="C62">
        <v>5600</v>
      </c>
      <c r="D62">
        <v>0</v>
      </c>
      <c r="E62">
        <v>367</v>
      </c>
      <c r="F62">
        <v>2</v>
      </c>
      <c r="G62">
        <v>0</v>
      </c>
      <c r="H62" t="inlineStr">
        <is>
          <t xml:space="preserve">#ERROR!</t>
        </is>
      </c>
      <c r="I62" t="inlineStr">
        <is>
          <t xml:space="preserve"/>
        </is>
      </c>
      <c r="J62">
        <v>66</v>
      </c>
      <c r="K62">
        <v>104</v>
      </c>
      <c r="L62">
        <v>-37</v>
      </c>
      <c r="M62">
        <v>37</v>
      </c>
      <c r="N62">
        <v>-14</v>
      </c>
      <c r="O62">
        <v>1920</v>
      </c>
      <c r="P62">
        <v>0</v>
      </c>
      <c r="Q62">
        <v>0</v>
      </c>
      <c r="R62">
        <v>0</v>
      </c>
      <c r="S62">
        <v>50</v>
      </c>
      <c r="T62">
        <v>1</v>
      </c>
      <c r="U62">
        <v>0</v>
      </c>
      <c r="V62" t="inlineStr">
        <is>
          <t xml:space="preserve">Industrial staffing and workforce-solutions company; brands include Select Staffing, ProLogistix, ResourceMFG and Staff Management.</t>
        </is>
      </c>
      <c r="W62">
        <v>2464</v>
      </c>
      <c r="X62">
        <v>168</v>
      </c>
      <c r="Y62" t="inlineStr">
        <is>
          <t xml:space="preserve">Tier 2</t>
        </is>
      </c>
      <c r="Z62" t="inlineStr">
        <is>
          <t xml:space="preserve">https://www.employbridge.com/</t>
        </is>
      </c>
    </row>
    <row r="63" spans="1:26">
      <c r="A63" t="str" s="2">
        <f>HYPERLINK("https://www.pyramidglobal.com/","Pyramid Global Hospitality")</f>
        <v>Pyramid Global Hospitality</v>
      </c>
      <c r="B63" t="inlineStr">
        <is>
          <t xml:space="preserve"/>
        </is>
      </c>
      <c r="C63">
        <v>18000</v>
      </c>
      <c r="D63">
        <v>0</v>
      </c>
      <c r="E63">
        <v>311</v>
      </c>
      <c r="F63">
        <v>4</v>
      </c>
      <c r="G63">
        <v>0</v>
      </c>
      <c r="H63" t="inlineStr">
        <is>
          <t xml:space="preserve">#ERROR!</t>
        </is>
      </c>
      <c r="I63" t="inlineStr">
        <is>
          <t xml:space="preserve"/>
        </is>
      </c>
      <c r="J63">
        <v>100</v>
      </c>
      <c r="K63">
        <v>97</v>
      </c>
      <c r="L63">
        <v>3</v>
      </c>
      <c r="M63">
        <v>74</v>
      </c>
      <c r="N63">
        <v>0</v>
      </c>
      <c r="O63">
        <v>5040</v>
      </c>
      <c r="P63">
        <v>0</v>
      </c>
      <c r="Q63">
        <v>0</v>
      </c>
      <c r="R63">
        <v>0</v>
      </c>
      <c r="S63" t="inlineStr">
        <is>
          <t xml:space="preserve"/>
        </is>
      </c>
      <c r="T63">
        <v>0</v>
      </c>
      <c r="U63">
        <v>1</v>
      </c>
      <c r="V63" t="inlineStr">
        <is>
          <t xml:space="preserve">Hotel and resort management company operating branded and independent hospitality properties under Pyramid Global Hospitality.</t>
        </is>
      </c>
      <c r="W63">
        <v>4320</v>
      </c>
      <c r="X63">
        <v>540</v>
      </c>
      <c r="Y63" t="inlineStr">
        <is>
          <t xml:space="preserve">Tier 2</t>
        </is>
      </c>
      <c r="Z63" t="inlineStr">
        <is>
          <t xml:space="preserve">https://www.pyramidglobal.com/</t>
        </is>
      </c>
    </row>
    <row r="64" spans="1:26">
      <c r="A64" t="str" s="2">
        <f>HYPERLINK("https://www.kbs-services.com/","Kellermeyer Bergensons Services LLC")</f>
        <v>Kellermeyer Bergensons Services LLC</v>
      </c>
      <c r="B64" t="inlineStr">
        <is>
          <t xml:space="preserve">P1</t>
        </is>
      </c>
      <c r="C64">
        <v>5440</v>
      </c>
      <c r="D64">
        <v>0</v>
      </c>
      <c r="E64">
        <v>133</v>
      </c>
      <c r="F64">
        <v>36</v>
      </c>
      <c r="G64">
        <v>0</v>
      </c>
      <c r="H64" t="inlineStr">
        <is>
          <t xml:space="preserve">#ERROR!</t>
        </is>
      </c>
      <c r="I64" t="inlineStr">
        <is>
          <t xml:space="preserve"/>
        </is>
      </c>
      <c r="J64">
        <v>62</v>
      </c>
      <c r="K64">
        <v>60</v>
      </c>
      <c r="L64">
        <v>3</v>
      </c>
      <c r="M64">
        <v>43</v>
      </c>
      <c r="N64">
        <v>-2</v>
      </c>
      <c r="O64">
        <v>1200</v>
      </c>
      <c r="P64" t="inlineStr">
        <is>
          <t xml:space="preserve"/>
        </is>
      </c>
      <c r="Q64" t="inlineStr">
        <is>
          <t xml:space="preserve"/>
        </is>
      </c>
      <c r="R64">
        <v>0</v>
      </c>
      <c r="S64" t="inlineStr">
        <is>
          <t xml:space="preserve"/>
        </is>
      </c>
      <c r="T64" t="inlineStr">
        <is>
          <t xml:space="preserve"/>
        </is>
      </c>
      <c r="U64">
        <v>0</v>
      </c>
      <c r="V64" t="inlineStr">
        <is>
          <t xml:space="preserve">Facility-services and contract-cleaning company serving retail and industrial sites under the KBS brand.</t>
        </is>
      </c>
      <c r="W64">
        <v>1088</v>
      </c>
      <c r="X64">
        <v>109</v>
      </c>
      <c r="Y64" t="inlineStr">
        <is>
          <t xml:space="preserve">Tier 2</t>
        </is>
      </c>
      <c r="Z64" t="inlineStr">
        <is>
          <t xml:space="preserve">https://www.kbs-services.com/</t>
        </is>
      </c>
    </row>
    <row r="65" spans="1:26">
      <c r="A65" t="str" s="2">
        <f>HYPERLINK("https://www.ymcagta.org/","YMCA of Greater Toronto")</f>
        <v>YMCA of Greater Toronto</v>
      </c>
      <c r="B65" t="inlineStr">
        <is>
          <t xml:space="preserve"/>
        </is>
      </c>
      <c r="C65">
        <v>6239</v>
      </c>
      <c r="D65">
        <v>0</v>
      </c>
      <c r="E65">
        <v>330</v>
      </c>
      <c r="F65">
        <v>31</v>
      </c>
      <c r="G65">
        <v>0</v>
      </c>
      <c r="H65" t="inlineStr">
        <is>
          <t xml:space="preserve">#ERROR!</t>
        </is>
      </c>
      <c r="I65" t="inlineStr">
        <is>
          <t xml:space="preserve"/>
        </is>
      </c>
      <c r="J65">
        <v>125</v>
      </c>
      <c r="K65">
        <v>121</v>
      </c>
      <c r="L65">
        <v>3</v>
      </c>
      <c r="M65">
        <v>90</v>
      </c>
      <c r="N65">
        <v>-2</v>
      </c>
      <c r="O65">
        <v>12699</v>
      </c>
      <c r="P65">
        <v>0</v>
      </c>
      <c r="Q65">
        <v>0</v>
      </c>
      <c r="R65">
        <v>0</v>
      </c>
      <c r="S65" t="inlineStr">
        <is>
          <t xml:space="preserve"/>
        </is>
      </c>
      <c r="T65">
        <v>0</v>
      </c>
      <c r="U65">
        <v>0</v>
      </c>
      <c r="V65" t="inlineStr">
        <is>
          <t xml:space="preserve">Nonprofit delivering community, fitness, youth and employment programs as part of the YMCA network in Greater Toronto.</t>
        </is>
      </c>
      <c r="W65">
        <v>2620</v>
      </c>
      <c r="X65">
        <v>187</v>
      </c>
      <c r="Y65" t="inlineStr">
        <is>
          <t xml:space="preserve">Tier 2</t>
        </is>
      </c>
      <c r="Z65" t="inlineStr">
        <is>
          <t xml:space="preserve">https://www.ymcagta.org/</t>
        </is>
      </c>
    </row>
    <row r="66" spans="1:26">
      <c r="A66" t="str" s="2">
        <f>HYPERLINK("https://www.subaru-sia.com/","Subaru of Indiana Automotive, Inc.")</f>
        <v>Subaru of Indiana Automotive, Inc.</v>
      </c>
      <c r="B66" t="inlineStr">
        <is>
          <t xml:space="preserve"/>
        </is>
      </c>
      <c r="C66">
        <v>7500</v>
      </c>
      <c r="D66">
        <v>0</v>
      </c>
      <c r="E66">
        <v>94</v>
      </c>
      <c r="F66">
        <v>0</v>
      </c>
      <c r="G66">
        <v>0</v>
      </c>
      <c r="H66" t="inlineStr">
        <is>
          <t xml:space="preserve">#ERROR!</t>
        </is>
      </c>
      <c r="I66" t="inlineStr">
        <is>
          <t xml:space="preserve"/>
        </is>
      </c>
      <c r="J66">
        <v>24</v>
      </c>
      <c r="K66">
        <v>25</v>
      </c>
      <c r="L66">
        <v>-4</v>
      </c>
      <c r="M66">
        <v>21</v>
      </c>
      <c r="N66">
        <v>5</v>
      </c>
      <c r="O66">
        <v>576</v>
      </c>
      <c r="P66">
        <v>0</v>
      </c>
      <c r="Q66">
        <v>0</v>
      </c>
      <c r="R66">
        <v>0</v>
      </c>
      <c r="S66" t="inlineStr">
        <is>
          <t xml:space="preserve"/>
        </is>
      </c>
      <c r="T66">
        <v>0</v>
      </c>
      <c r="U66">
        <v>1</v>
      </c>
      <c r="V66" t="inlineStr">
        <is>
          <t xml:space="preserve">U.S. vehicle manufacturing plant producing Subaru models for Subaru Corporation; operates as Subaru of Indiana Automotive.</t>
        </is>
      </c>
      <c r="W66">
        <v>1200</v>
      </c>
      <c r="X66">
        <v>600</v>
      </c>
      <c r="Y66" t="inlineStr">
        <is>
          <t xml:space="preserve">Tier 3</t>
        </is>
      </c>
      <c r="Z66" t="inlineStr">
        <is>
          <t xml:space="preserve">https://www.subaru-sia.com/</t>
        </is>
      </c>
    </row>
    <row r="67" spans="1:26">
      <c r="A67" t="str" s="2">
        <f>HYPERLINK("https://corporate.m3.com/en/","M3, Inc")</f>
        <v>M3, Inc</v>
      </c>
      <c r="B67" t="inlineStr">
        <is>
          <t xml:space="preserve"/>
        </is>
      </c>
      <c r="C67">
        <v>12100</v>
      </c>
      <c r="D67" t="inlineStr">
        <is>
          <t xml:space="preserve"/>
        </is>
      </c>
      <c r="E67">
        <v>0</v>
      </c>
      <c r="F67">
        <v>0</v>
      </c>
      <c r="G67" t="inlineStr">
        <is>
          <t xml:space="preserve"/>
        </is>
      </c>
      <c r="H67" t="inlineStr">
        <is>
          <t xml:space="preserve">#ERROR!</t>
        </is>
      </c>
      <c r="I67" t="inlineStr">
        <is>
          <t xml:space="preserve"/>
        </is>
      </c>
      <c r="J67">
        <v>0</v>
      </c>
      <c r="K67">
        <v>0</v>
      </c>
      <c r="L67" t="inlineStr">
        <is>
          <t xml:space="preserve"/>
        </is>
      </c>
      <c r="M67">
        <v>0</v>
      </c>
      <c r="N67" t="inlineStr">
        <is>
          <t xml:space="preserve"/>
        </is>
      </c>
      <c r="O67">
        <v>0</v>
      </c>
      <c r="P67" t="inlineStr">
        <is>
          <t xml:space="preserve"/>
        </is>
      </c>
      <c r="Q67" t="inlineStr">
        <is>
          <t xml:space="preserve"/>
        </is>
      </c>
      <c r="R67">
        <v>0</v>
      </c>
      <c r="S67" t="inlineStr">
        <is>
          <t xml:space="preserve"/>
        </is>
      </c>
      <c r="T67" t="inlineStr">
        <is>
          <t xml:space="preserve"/>
        </is>
      </c>
      <c r="U67">
        <v>0</v>
      </c>
      <c r="V67" t="inlineStr">
        <is>
          <t xml:space="preserve">Healthcare information, digital services and market-research company; group brands include M3, MDLinx, Quantia and other physician-network assets.</t>
        </is>
      </c>
      <c r="W67">
        <v>9196</v>
      </c>
      <c r="X67">
        <v>2178</v>
      </c>
      <c r="Y67" t="inlineStr">
        <is>
          <t xml:space="preserve">Top 15</t>
        </is>
      </c>
      <c r="Z67" t="inlineStr">
        <is>
          <t xml:space="preserve">https://corporate.m3.com/en/</t>
        </is>
      </c>
    </row>
    <row r="68" spans="1:26">
      <c r="A68" t="str" s="2">
        <f>HYPERLINK("https://www.alabamapower.com/","Alabama Power Company")</f>
        <v>Alabama Power Company</v>
      </c>
      <c r="B68" t="inlineStr">
        <is>
          <t xml:space="preserve"/>
        </is>
      </c>
      <c r="C68">
        <v>6200</v>
      </c>
      <c r="D68" t="inlineStr">
        <is>
          <t xml:space="preserve"/>
        </is>
      </c>
      <c r="E68">
        <v>0</v>
      </c>
      <c r="F68">
        <v>0</v>
      </c>
      <c r="G68" t="inlineStr">
        <is>
          <t xml:space="preserve"/>
        </is>
      </c>
      <c r="H68" t="inlineStr">
        <is>
          <t xml:space="preserve">#ERROR!</t>
        </is>
      </c>
      <c r="I68" t="inlineStr">
        <is>
          <t xml:space="preserve"/>
        </is>
      </c>
      <c r="J68">
        <v>0</v>
      </c>
      <c r="K68">
        <v>0</v>
      </c>
      <c r="L68" t="inlineStr">
        <is>
          <t xml:space="preserve"/>
        </is>
      </c>
      <c r="M68">
        <v>0</v>
      </c>
      <c r="N68" t="inlineStr">
        <is>
          <t xml:space="preserve"/>
        </is>
      </c>
      <c r="O68">
        <v>0</v>
      </c>
      <c r="P68" t="inlineStr">
        <is>
          <t xml:space="preserve"/>
        </is>
      </c>
      <c r="Q68" t="inlineStr">
        <is>
          <t xml:space="preserve"/>
        </is>
      </c>
      <c r="R68">
        <v>0</v>
      </c>
      <c r="S68" t="inlineStr">
        <is>
          <t xml:space="preserve"/>
        </is>
      </c>
      <c r="T68" t="inlineStr">
        <is>
          <t xml:space="preserve"/>
        </is>
      </c>
      <c r="U68">
        <v>0</v>
      </c>
      <c r="V68" t="inlineStr">
        <is>
          <t xml:space="preserve">Electric utility serving Alabama as a Southern Company subsidiary alongside Georgia Power, Mississippi Power and Southern Power.</t>
        </is>
      </c>
      <c r="W68">
        <v>1798</v>
      </c>
      <c r="X68">
        <v>558</v>
      </c>
      <c r="Y68" t="inlineStr">
        <is>
          <t xml:space="preserve">Tier 3</t>
        </is>
      </c>
      <c r="Z68" t="inlineStr">
        <is>
          <t xml:space="preserve">https://www.alabamapower.com/</t>
        </is>
      </c>
    </row>
    <row r="69" spans="1:26">
      <c r="A69" t="str" s="2">
        <f>HYPERLINK("https://www.travelandleisureco.com/","Travel + Leisure Co.")</f>
        <v>Travel + Leisure Co.</v>
      </c>
      <c r="B69" t="inlineStr">
        <is>
          <t xml:space="preserve"/>
        </is>
      </c>
      <c r="C69">
        <v>19000</v>
      </c>
      <c r="D69" t="inlineStr">
        <is>
          <t xml:space="preserve"/>
        </is>
      </c>
      <c r="E69">
        <v>0</v>
      </c>
      <c r="F69">
        <v>0</v>
      </c>
      <c r="G69" t="inlineStr">
        <is>
          <t xml:space="preserve"/>
        </is>
      </c>
      <c r="H69" t="inlineStr">
        <is>
          <t xml:space="preserve">#ERROR!</t>
        </is>
      </c>
      <c r="I69" t="inlineStr">
        <is>
          <t xml:space="preserve"/>
        </is>
      </c>
      <c r="J69">
        <v>0</v>
      </c>
      <c r="K69">
        <v>0</v>
      </c>
      <c r="L69" t="inlineStr">
        <is>
          <t xml:space="preserve"/>
        </is>
      </c>
      <c r="M69">
        <v>0</v>
      </c>
      <c r="N69" t="inlineStr">
        <is>
          <t xml:space="preserve"/>
        </is>
      </c>
      <c r="O69">
        <v>0</v>
      </c>
      <c r="P69" t="inlineStr">
        <is>
          <t xml:space="preserve"/>
        </is>
      </c>
      <c r="Q69" t="inlineStr">
        <is>
          <t xml:space="preserve"/>
        </is>
      </c>
      <c r="R69">
        <v>0</v>
      </c>
      <c r="S69" t="inlineStr">
        <is>
          <t xml:space="preserve"/>
        </is>
      </c>
      <c r="T69" t="inlineStr">
        <is>
          <t xml:space="preserve"/>
        </is>
      </c>
      <c r="U69">
        <v>0</v>
      </c>
      <c r="V69" t="inlineStr">
        <is>
          <t xml:space="preserve">Vacation ownership and travel-membership company; brands include Club Wyndham, WorldMark by Wyndham, Margaritaville Vacation Club and Travel + Leisure GO.</t>
        </is>
      </c>
      <c r="W69">
        <v>6460</v>
      </c>
      <c r="X69">
        <v>950</v>
      </c>
      <c r="Y69" t="inlineStr">
        <is>
          <t xml:space="preserve">Tier 2</t>
        </is>
      </c>
      <c r="Z69" t="inlineStr">
        <is>
          <t xml:space="preserve">https://www.travelandleisureco.com/</t>
        </is>
      </c>
    </row>
    <row r="70" spans="1:26">
      <c r="A70" t="str" s="2">
        <f>HYPERLINK("https://www.changehealthcare.com/","Change Healthcare Inc.")</f>
        <v>Change Healthcare Inc.</v>
      </c>
      <c r="B70" t="inlineStr">
        <is>
          <t xml:space="preserve"/>
        </is>
      </c>
      <c r="C70">
        <v>14000</v>
      </c>
      <c r="D70" t="inlineStr">
        <is>
          <t xml:space="preserve"/>
        </is>
      </c>
      <c r="E70" t="inlineStr">
        <is>
          <t xml:space="preserve"/>
        </is>
      </c>
      <c r="F70" t="inlineStr">
        <is>
          <t xml:space="preserve"/>
        </is>
      </c>
      <c r="G70" t="inlineStr">
        <is>
          <t xml:space="preserve"/>
        </is>
      </c>
      <c r="H70" t="inlineStr">
        <is>
          <t xml:space="preserve">#ERROR!</t>
        </is>
      </c>
      <c r="I70" t="inlineStr">
        <is>
          <t xml:space="preserve"/>
        </is>
      </c>
      <c r="J70">
        <v>0</v>
      </c>
      <c r="K70">
        <v>0</v>
      </c>
      <c r="L70" t="inlineStr">
        <is>
          <t xml:space="preserve"/>
        </is>
      </c>
      <c r="M70">
        <v>0</v>
      </c>
      <c r="N70" t="inlineStr">
        <is>
          <t xml:space="preserve"/>
        </is>
      </c>
      <c r="O70">
        <v>0</v>
      </c>
      <c r="P70" t="inlineStr">
        <is>
          <t xml:space="preserve"/>
        </is>
      </c>
      <c r="Q70" t="inlineStr">
        <is>
          <t xml:space="preserve"/>
        </is>
      </c>
      <c r="R70">
        <v>0</v>
      </c>
      <c r="S70" t="inlineStr">
        <is>
          <t xml:space="preserve"/>
        </is>
      </c>
      <c r="T70" t="inlineStr">
        <is>
          <t xml:space="preserve"/>
        </is>
      </c>
      <c r="U70">
        <v>0</v>
      </c>
      <c r="V70" t="inlineStr">
        <is>
          <t xml:space="preserve">Healthcare payments, claims and clinical-interoperability technology company now part of Optum within UnitedHealth Group.</t>
        </is>
      </c>
      <c r="W70">
        <v>10080</v>
      </c>
      <c r="X70">
        <v>2520</v>
      </c>
      <c r="Y70" t="inlineStr">
        <is>
          <t xml:space="preserve">Top 15</t>
        </is>
      </c>
      <c r="Z70" t="inlineStr">
        <is>
          <t xml:space="preserve">https://www.changehealthcare.com/</t>
        </is>
      </c>
    </row>
    <row r="71" spans="1:26">
      <c r="A71" t="str" s="2">
        <f>HYPERLINK("https://www.usa.canon.com/","Canon U.S.A., Inc.")</f>
        <v>Canon U.S.A., Inc.</v>
      </c>
      <c r="B71" t="inlineStr">
        <is>
          <t xml:space="preserve"/>
        </is>
      </c>
      <c r="C71">
        <v>12470</v>
      </c>
      <c r="D71" t="inlineStr">
        <is>
          <t xml:space="preserve"/>
        </is>
      </c>
      <c r="E71">
        <v>0</v>
      </c>
      <c r="F71">
        <v>0</v>
      </c>
      <c r="G71" t="inlineStr">
        <is>
          <t xml:space="preserve"/>
        </is>
      </c>
      <c r="H71" t="inlineStr">
        <is>
          <t xml:space="preserve">#ERROR!</t>
        </is>
      </c>
      <c r="I71" t="inlineStr">
        <is>
          <t xml:space="preserve"/>
        </is>
      </c>
      <c r="J71">
        <v>0</v>
      </c>
      <c r="K71">
        <v>0</v>
      </c>
      <c r="L71" t="inlineStr">
        <is>
          <t xml:space="preserve"/>
        </is>
      </c>
      <c r="M71">
        <v>0</v>
      </c>
      <c r="N71" t="inlineStr">
        <is>
          <t xml:space="preserve"/>
        </is>
      </c>
      <c r="O71">
        <v>0</v>
      </c>
      <c r="P71" t="inlineStr">
        <is>
          <t xml:space="preserve"/>
        </is>
      </c>
      <c r="Q71" t="inlineStr">
        <is>
          <t xml:space="preserve"/>
        </is>
      </c>
      <c r="R71">
        <v>0</v>
      </c>
      <c r="S71" t="inlineStr">
        <is>
          <t xml:space="preserve"/>
        </is>
      </c>
      <c r="T71" t="inlineStr">
        <is>
          <t xml:space="preserve"/>
        </is>
      </c>
      <c r="U71">
        <v>1</v>
      </c>
      <c r="V71" t="inlineStr">
        <is>
          <t xml:space="preserve">U.S. sales and services arm of Canon Inc. across imaging, print, medical and industrial products under Canon brands.</t>
        </is>
      </c>
      <c r="W71">
        <v>4739</v>
      </c>
      <c r="X71">
        <v>998</v>
      </c>
      <c r="Y71" t="inlineStr">
        <is>
          <t xml:space="preserve">Tier 2</t>
        </is>
      </c>
      <c r="Z71" t="inlineStr">
        <is>
          <t xml:space="preserve">https://www.usa.canon.com/</t>
        </is>
      </c>
    </row>
    <row r="72" spans="1:26">
      <c r="A72" t="str" s="2">
        <f>HYPERLINK("https://www.esab.com/","ESAB Corporation")</f>
        <v>ESAB Corporation</v>
      </c>
      <c r="B72" t="inlineStr">
        <is>
          <t xml:space="preserve"/>
        </is>
      </c>
      <c r="C72">
        <v>9300</v>
      </c>
      <c r="D72" t="inlineStr">
        <is>
          <t xml:space="preserve"/>
        </is>
      </c>
      <c r="E72">
        <v>0</v>
      </c>
      <c r="F72">
        <v>0</v>
      </c>
      <c r="G72" t="inlineStr">
        <is>
          <t xml:space="preserve"/>
        </is>
      </c>
      <c r="H72" t="inlineStr">
        <is>
          <t xml:space="preserve">#ERROR!</t>
        </is>
      </c>
      <c r="I72" t="inlineStr">
        <is>
          <t xml:space="preserve"/>
        </is>
      </c>
      <c r="J72">
        <v>0</v>
      </c>
      <c r="K72">
        <v>0</v>
      </c>
      <c r="L72" t="inlineStr">
        <is>
          <t xml:space="preserve"/>
        </is>
      </c>
      <c r="M72">
        <v>0</v>
      </c>
      <c r="N72" t="inlineStr">
        <is>
          <t xml:space="preserve"/>
        </is>
      </c>
      <c r="O72">
        <v>0</v>
      </c>
      <c r="P72" t="inlineStr">
        <is>
          <t xml:space="preserve"/>
        </is>
      </c>
      <c r="Q72" t="inlineStr">
        <is>
          <t xml:space="preserve"/>
        </is>
      </c>
      <c r="R72">
        <v>0</v>
      </c>
      <c r="S72" t="inlineStr">
        <is>
          <t xml:space="preserve"/>
        </is>
      </c>
      <c r="T72" t="inlineStr">
        <is>
          <t xml:space="preserve"/>
        </is>
      </c>
      <c r="U72">
        <v>0</v>
      </c>
      <c r="V72" t="inlineStr">
        <is>
          <t xml:space="preserve">Welding, cutting and fabrication-equipment company; portfolio includes ESAB, Victor, Tweco and other fabrication brands.</t>
        </is>
      </c>
      <c r="W72">
        <v>2232</v>
      </c>
      <c r="X72">
        <v>837</v>
      </c>
      <c r="Y72" t="inlineStr">
        <is>
          <t xml:space="preserve">Tier 3</t>
        </is>
      </c>
      <c r="Z72" t="inlineStr">
        <is>
          <t xml:space="preserve">https://www.esab.com/</t>
        </is>
      </c>
    </row>
    <row r="73" spans="1:26">
      <c r="A73" t="str" s="2">
        <f>HYPERLINK("https://www.str-llc.com/","Simplex Time Recorder LLC")</f>
        <v>Simplex Time Recorder LLC</v>
      </c>
      <c r="B73" t="inlineStr">
        <is>
          <t xml:space="preserve"/>
        </is>
      </c>
      <c r="C73">
        <v>12873</v>
      </c>
      <c r="D73" t="inlineStr">
        <is>
          <t xml:space="preserve"/>
        </is>
      </c>
      <c r="E73">
        <v>0</v>
      </c>
      <c r="F73">
        <v>0</v>
      </c>
      <c r="G73" t="inlineStr">
        <is>
          <t xml:space="preserve"/>
        </is>
      </c>
      <c r="H73" t="inlineStr">
        <is>
          <t xml:space="preserve">#ERROR!</t>
        </is>
      </c>
      <c r="I73" t="inlineStr">
        <is>
          <t xml:space="preserve"/>
        </is>
      </c>
      <c r="J73">
        <v>0</v>
      </c>
      <c r="K73">
        <v>0</v>
      </c>
      <c r="L73" t="inlineStr">
        <is>
          <t xml:space="preserve"/>
        </is>
      </c>
      <c r="M73">
        <v>0</v>
      </c>
      <c r="N73" t="inlineStr">
        <is>
          <t xml:space="preserve"/>
        </is>
      </c>
      <c r="O73">
        <v>0</v>
      </c>
      <c r="P73" t="inlineStr">
        <is>
          <t xml:space="preserve"/>
        </is>
      </c>
      <c r="Q73" t="inlineStr">
        <is>
          <t xml:space="preserve"/>
        </is>
      </c>
      <c r="R73">
        <v>0</v>
      </c>
      <c r="S73" t="inlineStr">
        <is>
          <t xml:space="preserve"/>
        </is>
      </c>
      <c r="T73" t="inlineStr">
        <is>
          <t xml:space="preserve"/>
        </is>
      </c>
      <c r="U73">
        <v>0</v>
      </c>
      <c r="V73" t="inlineStr">
        <is>
          <t xml:space="preserve">Timekeeping, labor-management and payroll-solutions provider operating as Simplex Time Recorder / STR for workforce operations teams.</t>
        </is>
      </c>
      <c r="W73">
        <v>5922</v>
      </c>
      <c r="X73">
        <v>1030</v>
      </c>
      <c r="Y73" t="inlineStr">
        <is>
          <t xml:space="preserve">Tier 2</t>
        </is>
      </c>
      <c r="Z73" t="inlineStr">
        <is>
          <t xml:space="preserve">https://www.str-llc.com/</t>
        </is>
      </c>
    </row>
    <row r="74" spans="1:26">
      <c r="A74" t="str" s="2">
        <f>HYPERLINK("https://www.meritagehospitality.com/","Meritage Hospitality Group Inc.")</f>
        <v>Meritage Hospitality Group Inc.</v>
      </c>
      <c r="B74" t="inlineStr">
        <is>
          <t xml:space="preserve"/>
        </is>
      </c>
      <c r="C74">
        <v>10000</v>
      </c>
      <c r="D74" t="inlineStr">
        <is>
          <t xml:space="preserve"/>
        </is>
      </c>
      <c r="E74">
        <v>0</v>
      </c>
      <c r="F74">
        <v>0</v>
      </c>
      <c r="G74" t="inlineStr">
        <is>
          <t xml:space="preserve"/>
        </is>
      </c>
      <c r="H74" t="inlineStr">
        <is>
          <t xml:space="preserve">#ERROR!</t>
        </is>
      </c>
      <c r="I74" t="inlineStr">
        <is>
          <t xml:space="preserve"/>
        </is>
      </c>
      <c r="J74">
        <v>0</v>
      </c>
      <c r="K74">
        <v>0</v>
      </c>
      <c r="L74" t="inlineStr">
        <is>
          <t xml:space="preserve"/>
        </is>
      </c>
      <c r="M74">
        <v>0</v>
      </c>
      <c r="N74" t="inlineStr">
        <is>
          <t xml:space="preserve"/>
        </is>
      </c>
      <c r="O74">
        <v>0</v>
      </c>
      <c r="P74" t="inlineStr">
        <is>
          <t xml:space="preserve"/>
        </is>
      </c>
      <c r="Q74" t="inlineStr">
        <is>
          <t xml:space="preserve"/>
        </is>
      </c>
      <c r="R74">
        <v>0</v>
      </c>
      <c r="S74" t="inlineStr">
        <is>
          <t xml:space="preserve"/>
        </is>
      </c>
      <c r="T74" t="inlineStr">
        <is>
          <t xml:space="preserve"/>
        </is>
      </c>
      <c r="U74">
        <v>0</v>
      </c>
      <c r="V74" t="inlineStr">
        <is>
          <t xml:space="preserve">Restaurant franchise operator focused primarily on Wendy's locations through Meritage Hospitality and related foodservice entities.</t>
        </is>
      </c>
      <c r="W74">
        <v>1800</v>
      </c>
      <c r="X74">
        <v>200</v>
      </c>
      <c r="Y74" t="inlineStr">
        <is>
          <t xml:space="preserve">Tier 3</t>
        </is>
      </c>
      <c r="Z74" t="inlineStr">
        <is>
          <t xml:space="preserve">https://www.meritagehospitality.com/</t>
        </is>
      </c>
    </row>
    <row r="75" spans="1:26">
      <c r="A75" t="str" s="2">
        <f>HYPERLINK("https://www.fime.com/","FIME")</f>
        <v>FIME</v>
      </c>
      <c r="B75" t="inlineStr">
        <is>
          <t xml:space="preserve"/>
        </is>
      </c>
      <c r="C75">
        <v>14000</v>
      </c>
      <c r="D75" t="inlineStr">
        <is>
          <t xml:space="preserve"/>
        </is>
      </c>
      <c r="E75">
        <v>0</v>
      </c>
      <c r="F75">
        <v>0</v>
      </c>
      <c r="G75" t="inlineStr">
        <is>
          <t xml:space="preserve"/>
        </is>
      </c>
      <c r="H75" t="inlineStr">
        <is>
          <t xml:space="preserve">#ERROR!</t>
        </is>
      </c>
      <c r="I75" t="inlineStr">
        <is>
          <t xml:space="preserve"/>
        </is>
      </c>
      <c r="J75">
        <v>0</v>
      </c>
      <c r="K75">
        <v>0</v>
      </c>
      <c r="L75" t="inlineStr">
        <is>
          <t xml:space="preserve"/>
        </is>
      </c>
      <c r="M75">
        <v>0</v>
      </c>
      <c r="N75" t="inlineStr">
        <is>
          <t xml:space="preserve"/>
        </is>
      </c>
      <c r="O75">
        <v>0</v>
      </c>
      <c r="P75" t="inlineStr">
        <is>
          <t xml:space="preserve"/>
        </is>
      </c>
      <c r="Q75" t="inlineStr">
        <is>
          <t xml:space="preserve"/>
        </is>
      </c>
      <c r="R75">
        <v>0</v>
      </c>
      <c r="S75" t="inlineStr">
        <is>
          <t xml:space="preserve"/>
        </is>
      </c>
      <c r="T75" t="inlineStr">
        <is>
          <t xml:space="preserve"/>
        </is>
      </c>
      <c r="U75">
        <v>0</v>
      </c>
      <c r="V75" t="inlineStr">
        <is>
          <t xml:space="preserve">Payments consulting, testing and certification company helping banks, networks and merchants deploy secure payment systems under Fime.</t>
        </is>
      </c>
      <c r="W75">
        <v>10360</v>
      </c>
      <c r="X75">
        <v>2240</v>
      </c>
      <c r="Y75" t="inlineStr">
        <is>
          <t xml:space="preserve">Tier 2</t>
        </is>
      </c>
      <c r="Z75" t="inlineStr">
        <is>
          <t xml:space="preserve">https://www.fime.com/</t>
        </is>
      </c>
    </row>
    <row r="76" spans="1:26">
      <c r="A76" t="str" s="2">
        <f>HYPERLINK("https://www.clypg.com.cn/","Longyuan Canada Renewables Ltd.")</f>
        <v>Longyuan Canada Renewables Ltd.</v>
      </c>
      <c r="B76" t="inlineStr">
        <is>
          <t xml:space="preserve"/>
        </is>
      </c>
      <c r="C76">
        <v>7519</v>
      </c>
      <c r="D76" t="inlineStr">
        <is>
          <t xml:space="preserve"/>
        </is>
      </c>
      <c r="E76">
        <v>0</v>
      </c>
      <c r="F76">
        <v>0</v>
      </c>
      <c r="G76" t="inlineStr">
        <is>
          <t xml:space="preserve"/>
        </is>
      </c>
      <c r="H76" t="inlineStr">
        <is>
          <t xml:space="preserve">#ERROR!</t>
        </is>
      </c>
      <c r="I76" t="inlineStr">
        <is>
          <t xml:space="preserve"/>
        </is>
      </c>
      <c r="J76">
        <v>0</v>
      </c>
      <c r="K76">
        <v>0</v>
      </c>
      <c r="L76" t="inlineStr">
        <is>
          <t xml:space="preserve"/>
        </is>
      </c>
      <c r="M76">
        <v>0</v>
      </c>
      <c r="N76" t="inlineStr">
        <is>
          <t xml:space="preserve"/>
        </is>
      </c>
      <c r="O76">
        <v>0</v>
      </c>
      <c r="P76" t="inlineStr">
        <is>
          <t xml:space="preserve"/>
        </is>
      </c>
      <c r="Q76" t="inlineStr">
        <is>
          <t xml:space="preserve"/>
        </is>
      </c>
      <c r="R76">
        <v>0</v>
      </c>
      <c r="S76" t="inlineStr">
        <is>
          <t xml:space="preserve"/>
        </is>
      </c>
      <c r="T76" t="inlineStr">
        <is>
          <t xml:space="preserve"/>
        </is>
      </c>
      <c r="U76">
        <v>0</v>
      </c>
      <c r="V76" t="inlineStr">
        <is>
          <t xml:space="preserve">Canadian renewables operating business tied to China Longyuan Power Group, a major wind and renewable-energy developer.</t>
        </is>
      </c>
      <c r="W76">
        <v>2406</v>
      </c>
      <c r="X76">
        <v>902</v>
      </c>
      <c r="Y76" t="inlineStr">
        <is>
          <t xml:space="preserve">Tier 3</t>
        </is>
      </c>
      <c r="Z76" t="inlineStr">
        <is>
          <t xml:space="preserve">https://www.clypg.com.cn/</t>
        </is>
      </c>
    </row>
    <row r="77" spans="1:26">
      <c r="A77" t="str" s="2">
        <f>HYPERLINK("https://www.gdit.com/","CSRA")</f>
        <v>CSRA</v>
      </c>
      <c r="B77" t="inlineStr">
        <is>
          <t xml:space="preserve"/>
        </is>
      </c>
      <c r="C77">
        <v>18500</v>
      </c>
      <c r="D77" t="inlineStr">
        <is>
          <t xml:space="preserve"/>
        </is>
      </c>
      <c r="E77">
        <v>0</v>
      </c>
      <c r="F77">
        <v>0</v>
      </c>
      <c r="G77" t="inlineStr">
        <is>
          <t xml:space="preserve"/>
        </is>
      </c>
      <c r="H77" t="inlineStr">
        <is>
          <t xml:space="preserve">#ERROR!</t>
        </is>
      </c>
      <c r="I77" t="inlineStr">
        <is>
          <t xml:space="preserve"/>
        </is>
      </c>
      <c r="J77">
        <v>0</v>
      </c>
      <c r="K77">
        <v>0</v>
      </c>
      <c r="L77" t="inlineStr">
        <is>
          <t xml:space="preserve"/>
        </is>
      </c>
      <c r="M77">
        <v>0</v>
      </c>
      <c r="N77" t="inlineStr">
        <is>
          <t xml:space="preserve"/>
        </is>
      </c>
      <c r="O77">
        <v>0</v>
      </c>
      <c r="P77" t="inlineStr">
        <is>
          <t xml:space="preserve"/>
        </is>
      </c>
      <c r="Q77" t="inlineStr">
        <is>
          <t xml:space="preserve"/>
        </is>
      </c>
      <c r="R77">
        <v>0</v>
      </c>
      <c r="S77" t="inlineStr">
        <is>
          <t xml:space="preserve"/>
        </is>
      </c>
      <c r="T77" t="inlineStr">
        <is>
          <t xml:space="preserve"/>
        </is>
      </c>
      <c r="U77">
        <v>0</v>
      </c>
      <c r="V77" t="inlineStr">
        <is>
          <t xml:space="preserve">Former government IT integrator whose operations were acquired by General Dynamics Information Technology; now aligned with GDIT services.</t>
        </is>
      </c>
      <c r="W77">
        <v>12580</v>
      </c>
      <c r="X77">
        <v>2775</v>
      </c>
      <c r="Y77" t="inlineStr">
        <is>
          <t xml:space="preserve">Tier 2</t>
        </is>
      </c>
      <c r="Z77" t="inlineStr">
        <is>
          <t xml:space="preserve">https://www.gdit.com/</t>
        </is>
      </c>
    </row>
    <row r="78" spans="1:26">
      <c r="A78" t="str" s="2">
        <f>HYPERLINK("https://www.geogroup.com/","Wackenhut Correctional Facility")</f>
        <v>Wackenhut Correctional Facility</v>
      </c>
      <c r="B78" t="inlineStr">
        <is>
          <t xml:space="preserve"/>
        </is>
      </c>
      <c r="C78">
        <v>16500</v>
      </c>
      <c r="D78" t="inlineStr">
        <is>
          <t xml:space="preserve"/>
        </is>
      </c>
      <c r="E78">
        <v>0</v>
      </c>
      <c r="F78">
        <v>0</v>
      </c>
      <c r="G78" t="inlineStr">
        <is>
          <t xml:space="preserve"/>
        </is>
      </c>
      <c r="H78" t="inlineStr">
        <is>
          <t xml:space="preserve">#ERROR!</t>
        </is>
      </c>
      <c r="I78" t="inlineStr">
        <is>
          <t xml:space="preserve"/>
        </is>
      </c>
      <c r="J78">
        <v>0</v>
      </c>
      <c r="K78">
        <v>0</v>
      </c>
      <c r="L78" t="inlineStr">
        <is>
          <t xml:space="preserve"/>
        </is>
      </c>
      <c r="M78">
        <v>0</v>
      </c>
      <c r="N78" t="inlineStr">
        <is>
          <t xml:space="preserve"/>
        </is>
      </c>
      <c r="O78">
        <v>0</v>
      </c>
      <c r="P78" t="inlineStr">
        <is>
          <t xml:space="preserve"/>
        </is>
      </c>
      <c r="Q78" t="inlineStr">
        <is>
          <t xml:space="preserve"/>
        </is>
      </c>
      <c r="R78">
        <v>0</v>
      </c>
      <c r="S78" t="inlineStr">
        <is>
          <t xml:space="preserve"/>
        </is>
      </c>
      <c r="T78" t="inlineStr">
        <is>
          <t xml:space="preserve"/>
        </is>
      </c>
      <c r="U78">
        <v>0</v>
      </c>
      <c r="V78" t="inlineStr">
        <is>
          <t xml:space="preserve">Legacy Wackenhut corrections business now associated with The GEO Group, which operates detention, reentry and monitoring services.</t>
        </is>
      </c>
      <c r="W78">
        <v>2970</v>
      </c>
      <c r="X78">
        <v>330</v>
      </c>
      <c r="Y78" t="inlineStr">
        <is>
          <t xml:space="preserve">Tier 3</t>
        </is>
      </c>
      <c r="Z78" t="inlineStr">
        <is>
          <t xml:space="preserve">https://www.geogroup.com/</t>
        </is>
      </c>
    </row>
    <row r="79" spans="1:26">
      <c r="A79" t="str" s="2">
        <f>HYPERLINK("https://www.sci-corp.com/","SCI Direct")</f>
        <v>SCI Direct</v>
      </c>
      <c r="B79" t="inlineStr">
        <is>
          <t xml:space="preserve"/>
        </is>
      </c>
      <c r="C79">
        <v>17685</v>
      </c>
      <c r="D79" t="inlineStr">
        <is>
          <t xml:space="preserve"/>
        </is>
      </c>
      <c r="E79">
        <v>0</v>
      </c>
      <c r="F79">
        <v>0</v>
      </c>
      <c r="G79" t="inlineStr">
        <is>
          <t xml:space="preserve"/>
        </is>
      </c>
      <c r="H79" t="inlineStr">
        <is>
          <t xml:space="preserve">#ERROR!</t>
        </is>
      </c>
      <c r="I79" t="inlineStr">
        <is>
          <t xml:space="preserve"/>
        </is>
      </c>
      <c r="J79">
        <v>0</v>
      </c>
      <c r="K79">
        <v>0</v>
      </c>
      <c r="L79" t="inlineStr">
        <is>
          <t xml:space="preserve"/>
        </is>
      </c>
      <c r="M79">
        <v>0</v>
      </c>
      <c r="N79" t="inlineStr">
        <is>
          <t xml:space="preserve"/>
        </is>
      </c>
      <c r="O79">
        <v>0</v>
      </c>
      <c r="P79" t="inlineStr">
        <is>
          <t xml:space="preserve"/>
        </is>
      </c>
      <c r="Q79" t="inlineStr">
        <is>
          <t xml:space="preserve"/>
        </is>
      </c>
      <c r="R79">
        <v>0</v>
      </c>
      <c r="S79" t="inlineStr">
        <is>
          <t xml:space="preserve"/>
        </is>
      </c>
      <c r="T79" t="inlineStr">
        <is>
          <t xml:space="preserve"/>
        </is>
      </c>
      <c r="U79">
        <v>0</v>
      </c>
      <c r="V79" t="inlineStr">
        <is>
          <t xml:space="preserve">Direct-to-consumer funeral and cemetery planning activity associated with Service Corporation International, owner of Dignity Memorial brands.</t>
        </is>
      </c>
      <c r="W79">
        <v>4244</v>
      </c>
      <c r="X79">
        <v>531</v>
      </c>
      <c r="Y79" t="inlineStr">
        <is>
          <t xml:space="preserve">Tier 3</t>
        </is>
      </c>
      <c r="Z79" t="inlineStr">
        <is>
          <t xml:space="preserve">https://www.sci-corp.com/</t>
        </is>
      </c>
    </row>
    <row r="80" spans="1:26">
      <c r="A80" t="str" s="2">
        <f>HYPERLINK("https://www.honeywellsmartenergy.com/","Elster Holdings Netherlands B.V.")</f>
        <v>Elster Holdings Netherlands B.V.</v>
      </c>
      <c r="B80" t="inlineStr">
        <is>
          <t xml:space="preserve"/>
        </is>
      </c>
      <c r="C80">
        <v>7000</v>
      </c>
      <c r="D80" t="inlineStr">
        <is>
          <t xml:space="preserve"/>
        </is>
      </c>
      <c r="E80">
        <v>0</v>
      </c>
      <c r="F80">
        <v>0</v>
      </c>
      <c r="G80" t="inlineStr">
        <is>
          <t xml:space="preserve"/>
        </is>
      </c>
      <c r="H80" t="inlineStr">
        <is>
          <t xml:space="preserve">#ERROR!</t>
        </is>
      </c>
      <c r="I80" t="inlineStr">
        <is>
          <t xml:space="preserve"/>
        </is>
      </c>
      <c r="J80">
        <v>0</v>
      </c>
      <c r="K80">
        <v>0</v>
      </c>
      <c r="L80" t="inlineStr">
        <is>
          <t xml:space="preserve"/>
        </is>
      </c>
      <c r="M80">
        <v>0</v>
      </c>
      <c r="N80" t="inlineStr">
        <is>
          <t xml:space="preserve"/>
        </is>
      </c>
      <c r="O80">
        <v>0</v>
      </c>
      <c r="P80" t="inlineStr">
        <is>
          <t xml:space="preserve"/>
        </is>
      </c>
      <c r="Q80" t="inlineStr">
        <is>
          <t xml:space="preserve"/>
        </is>
      </c>
      <c r="R80">
        <v>0</v>
      </c>
      <c r="S80" t="inlineStr">
        <is>
          <t xml:space="preserve"/>
        </is>
      </c>
      <c r="T80" t="inlineStr">
        <is>
          <t xml:space="preserve"/>
        </is>
      </c>
      <c r="U80">
        <v>0</v>
      </c>
      <c r="V80" t="inlineStr">
        <is>
          <t xml:space="preserve">Smart metering and utility-technology business linked to Elster, now part of Honeywell's smart energy portfolio.</t>
        </is>
      </c>
      <c r="W80">
        <v>2380</v>
      </c>
      <c r="X80">
        <v>840</v>
      </c>
      <c r="Y80" t="inlineStr">
        <is>
          <t xml:space="preserve">Tier 3</t>
        </is>
      </c>
      <c r="Z80" t="inlineStr">
        <is>
          <t xml:space="preserve">https://www.honeywellsmartenergy.com/</t>
        </is>
      </c>
    </row>
    <row r="81" spans="1:26">
      <c r="A81" t="inlineStr">
        <is>
          <t xml:space="preserve">ABC Tech</t>
        </is>
      </c>
      <c r="B81" t="inlineStr">
        <is>
          <t xml:space="preserve"/>
        </is>
      </c>
      <c r="C81">
        <v>6750</v>
      </c>
      <c r="D81" t="inlineStr">
        <is>
          <t xml:space="preserve"/>
        </is>
      </c>
      <c r="E81" t="inlineStr">
        <is>
          <t xml:space="preserve"/>
        </is>
      </c>
      <c r="F81" t="inlineStr">
        <is>
          <t xml:space="preserve"/>
        </is>
      </c>
      <c r="G81" t="inlineStr">
        <is>
          <t xml:space="preserve"/>
        </is>
      </c>
      <c r="H81" t="inlineStr">
        <is>
          <t xml:space="preserve">#ERROR!</t>
        </is>
      </c>
      <c r="I81" t="inlineStr">
        <is>
          <t xml:space="preserve"/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/>
        </is>
      </c>
      <c r="M81" t="inlineStr">
        <is>
          <t xml:space="preserve"/>
        </is>
      </c>
      <c r="N81" t="inlineStr">
        <is>
          <t xml:space="preserve"/>
        </is>
      </c>
      <c r="O81" t="inlineStr">
        <is>
          <t xml:space="preserve"/>
        </is>
      </c>
      <c r="P81" t="inlineStr">
        <is>
          <t xml:space="preserve"/>
        </is>
      </c>
      <c r="Q81" t="inlineStr">
        <is>
          <t xml:space="preserve"/>
        </is>
      </c>
      <c r="R81">
        <v>0</v>
      </c>
      <c r="S81" t="inlineStr">
        <is>
          <t xml:space="preserve"/>
        </is>
      </c>
      <c r="T81" t="inlineStr">
        <is>
          <t xml:space="preserve"/>
        </is>
      </c>
      <c r="U81">
        <v>0</v>
      </c>
      <c r="V81" t="inlineStr">
        <is>
          <t xml:space="preserve">Exact legal entity match was not clear from the source file; verify the company website and parent-brand details before using this row for outreach.</t>
        </is>
      </c>
      <c r="W81">
        <v>3038</v>
      </c>
      <c r="X81">
        <v>540</v>
      </c>
      <c r="Y81" t="inlineStr">
        <is>
          <t xml:space="preserve">Tier 3</t>
        </is>
      </c>
      <c r="Z81" t="inlineStr">
        <is>
          <t xml:space="preserve"/>
        </is>
      </c>
    </row>
    <row r="82" spans="1:26">
      <c r="A82" t="str" s="2">
        <f>HYPERLINK("https://www.nikkiso.com/","Nikkiso")</f>
        <v>Nikkiso</v>
      </c>
      <c r="B82" t="inlineStr">
        <is>
          <t xml:space="preserve"/>
        </is>
      </c>
      <c r="C82">
        <v>8337</v>
      </c>
      <c r="D82" t="inlineStr">
        <is>
          <t xml:space="preserve"/>
        </is>
      </c>
      <c r="E82" t="inlineStr">
        <is>
          <t xml:space="preserve"/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>#ERROR!</t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/>
        </is>
      </c>
      <c r="M82" t="inlineStr">
        <is>
          <t xml:space="preserve"/>
        </is>
      </c>
      <c r="N82" t="inlineStr">
        <is>
          <t xml:space="preserve"/>
        </is>
      </c>
      <c r="O82" t="inlineStr">
        <is>
          <t xml:space="preserve"/>
        </is>
      </c>
      <c r="P82" t="inlineStr">
        <is>
          <t xml:space="preserve"/>
        </is>
      </c>
      <c r="Q82" t="inlineStr">
        <is>
          <t xml:space="preserve"/>
        </is>
      </c>
      <c r="R82">
        <v>0</v>
      </c>
      <c r="S82" t="inlineStr">
        <is>
          <t xml:space="preserve"/>
        </is>
      </c>
      <c r="T82" t="inlineStr">
        <is>
          <t xml:space="preserve"/>
        </is>
      </c>
      <c r="U82">
        <v>0</v>
      </c>
      <c r="V82" t="inlineStr">
        <is>
          <t xml:space="preserve">Industrial, medical and cryogenic equipment manufacturer; key segments include Nikkiso Clean Energy &amp; Industrial Gases and Medical.</t>
        </is>
      </c>
      <c r="W82">
        <v>2334</v>
      </c>
      <c r="X82">
        <v>1000</v>
      </c>
      <c r="Y82" t="inlineStr">
        <is>
          <t xml:space="preserve">Tier 3</t>
        </is>
      </c>
      <c r="Z82" t="inlineStr">
        <is>
          <t xml:space="preserve">https://www.nikkiso.com/</t>
        </is>
      </c>
    </row>
  </sheetData>
  <autoFilter ref="A1:Z8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2026-02-26T00:00:00Z</dcterms:created>
  <dcterms:modified xsi:type="dcterms:W3CDTF">2026-02-26T00:00:00Z</dcterms:modified>
</cp:coreProperties>
</file>